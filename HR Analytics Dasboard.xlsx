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Excel-HR Analytics\"/>
    </mc:Choice>
  </mc:AlternateContent>
  <xr:revisionPtr revIDLastSave="0" documentId="13_ncr:1_{F587EAA2-0E18-4F5E-8853-93B1E2EE4F0F}" xr6:coauthVersionLast="47" xr6:coauthVersionMax="47" xr10:uidLastSave="{00000000-0000-0000-0000-000000000000}"/>
  <bookViews>
    <workbookView xWindow="0" yWindow="12" windowWidth="23256" windowHeight="13176" activeTab="2" xr2:uid="{408BA6AB-5196-496B-9C80-B057CC378CDA}"/>
  </bookViews>
  <sheets>
    <sheet name="Data" sheetId="1" r:id="rId1"/>
    <sheet name="Pivot_tables" sheetId="2" r:id="rId2"/>
    <sheet name="Dashboard" sheetId="3" r:id="rId3"/>
  </sheets>
  <definedNames>
    <definedName name="Slicer_Department1">#N/A</definedName>
    <definedName name="Slicer_Gender1">#N/A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7" i="2" l="1"/>
  <c r="C10" i="2"/>
  <c r="Z16" i="2"/>
  <c r="J17" i="2"/>
  <c r="F17" i="2"/>
  <c r="F12" i="2"/>
  <c r="W17" i="2"/>
  <c r="W16" i="2"/>
  <c r="G12" i="2"/>
  <c r="G15" i="2"/>
  <c r="F16" i="2"/>
  <c r="J18" i="2"/>
  <c r="F14" i="2"/>
  <c r="O12" i="2"/>
  <c r="O10" i="2"/>
  <c r="G16" i="2"/>
  <c r="C11" i="2"/>
  <c r="T16" i="2"/>
  <c r="C12" i="2"/>
  <c r="W15" i="2"/>
  <c r="C13" i="2"/>
  <c r="W14" i="2"/>
  <c r="Z13" i="2"/>
  <c r="J13" i="2"/>
  <c r="T14" i="2"/>
  <c r="F13" i="2"/>
  <c r="J15" i="2"/>
  <c r="F15" i="2"/>
  <c r="T13" i="2"/>
  <c r="T15" i="2"/>
  <c r="J14" i="2"/>
  <c r="G14" i="2"/>
  <c r="T18" i="2"/>
  <c r="J20" i="2"/>
  <c r="Z15" i="2"/>
  <c r="T17" i="2"/>
  <c r="O11" i="2"/>
  <c r="G13" i="2"/>
  <c r="Z14" i="2"/>
  <c r="J16" i="2"/>
  <c r="J21" i="2"/>
  <c r="W13" i="2"/>
  <c r="W18" i="2" l="1"/>
  <c r="K21" i="2"/>
  <c r="L21" i="2" s="1"/>
  <c r="P11" i="2"/>
  <c r="Q11" i="2" s="1"/>
  <c r="J22" i="2"/>
  <c r="K20" i="2"/>
  <c r="L20" i="2" s="1"/>
  <c r="Z18" i="2"/>
  <c r="P10" i="2"/>
  <c r="Q10" i="2" s="1"/>
  <c r="P12" i="2"/>
  <c r="Q12" i="2" s="1"/>
  <c r="G17" i="2"/>
</calcChain>
</file>

<file path=xl/sharedStrings.xml><?xml version="1.0" encoding="utf-8"?>
<sst xmlns="http://schemas.openxmlformats.org/spreadsheetml/2006/main" count="876" uniqueCount="232">
  <si>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</si>
  <si>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</si>
  <si>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</si>
  <si>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</si>
  <si>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</si>
  <si>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</si>
  <si>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</si>
  <si>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</si>
  <si>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</si>
  <si>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</si>
  <si>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</si>
  <si>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</si>
  <si>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</si>
  <si>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</si>
  <si>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</si>
  <si>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</si>
  <si>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</si>
  <si>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</si>
  <si>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</si>
  <si>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</si>
  <si>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</si>
  <si>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</si>
  <si>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</si>
  <si>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</si>
  <si>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</si>
  <si>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</si>
  <si>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</si>
  <si>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</si>
  <si>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</si>
  <si>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</si>
  <si>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</si>
  <si>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</si>
  <si>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</si>
  <si>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</si>
  <si>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</si>
  <si>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</si>
  <si>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</si>
  <si>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</si>
  <si>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</si>
  <si>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</si>
  <si>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</si>
  <si>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</si>
  <si>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</si>
  <si>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</si>
  <si>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</si>
  <si>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</si>
  <si>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</si>
  <si>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</si>
  <si>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</si>
  <si>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</si>
  <si>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</si>
  <si>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</si>
  <si>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</si>
  <si>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</si>
  <si>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</si>
  <si>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</si>
  <si>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</si>
  <si>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</si>
  <si>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</si>
  <si>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</si>
  <si>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</si>
  <si>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</si>
  <si>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</si>
  <si>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</si>
  <si>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</si>
  <si>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</si>
  <si>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</si>
  <si>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</si>
  <si>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</si>
  <si>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</si>
  <si>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</si>
  <si>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</si>
  <si>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</si>
  <si>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</si>
  <si>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</si>
  <si>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</si>
  <si>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</si>
  <si>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</si>
  <si>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</si>
  <si>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</si>
  <si>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</si>
  <si>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</si>
  <si>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</si>
  <si>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</si>
  <si>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</si>
  <si>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</si>
  <si>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</si>
  <si>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</si>
  <si>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</si>
  <si>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</si>
  <si>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</si>
  <si>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</si>
  <si>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</si>
  <si>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</si>
  <si>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</si>
  <si>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</si>
  <si>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</si>
  <si>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</si>
  <si>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</si>
  <si>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</si>
  <si>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</si>
  <si>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</si>
  <si>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</si>
  <si>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</si>
  <si>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</si>
  <si>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</si>
  <si>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</si>
  <si>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</si>
  <si>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</si>
  <si>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</si>
  <si>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</si>
  <si>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</si>
  <si>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</si>
  <si>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</si>
  <si>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</si>
  <si>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</si>
  <si>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</si>
  <si>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</si>
  <si>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</si>
  <si>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</si>
  <si>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</si>
  <si>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</si>
  <si>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</si>
  <si>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</si>
  <si>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</si>
  <si>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</si>
  <si>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</si>
  <si>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</si>
  <si>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</si>
  <si>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</si>
  <si>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</si>
  <si>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</si>
  <si>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</si>
  <si>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</si>
  <si>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</si>
  <si>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</si>
  <si>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</si>
  <si>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</si>
  <si>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</si>
  <si>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</si>
  <si>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</si>
  <si>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</si>
  <si>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</si>
  <si>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</si>
  <si>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</si>
  <si>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</si>
  <si>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</si>
  <si>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</si>
  <si>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</si>
  <si>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</si>
  <si>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</si>
  <si>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</si>
  <si>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</si>
  <si>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</si>
  <si>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</si>
  <si>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</si>
  <si>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</si>
  <si>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</si>
  <si>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</si>
  <si>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</si>
  <si>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</si>
  <si>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</si>
  <si>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</si>
  <si>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</si>
  <si>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</si>
  <si>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</si>
  <si>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</si>
  <si>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</si>
  <si>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</si>
  <si>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</si>
  <si>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</si>
  <si>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</si>
  <si>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</si>
  <si>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</si>
  <si>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</si>
  <si>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</si>
  <si>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</si>
  <si>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</si>
  <si>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</si>
  <si>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</si>
  <si>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</si>
  <si>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</si>
  <si>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</si>
  <si>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</si>
  <si>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</si>
  <si>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</si>
  <si>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</si>
  <si>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</si>
  <si>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</si>
  <si>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</si>
  <si>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</si>
  <si>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</si>
  <si>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</si>
  <si>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</si>
  <si>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</si>
  <si>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</si>
  <si>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</si>
  <si>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</si>
  <si>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</si>
  <si>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</si>
  <si>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</si>
  <si>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</si>
  <si>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</si>
  <si>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</si>
  <si>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</si>
  <si>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</si>
  <si>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</si>
  <si>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</si>
  <si>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</si>
  <si>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</si>
  <si>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</si>
  <si>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</si>
  <si>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</si>
  <si>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</si>
  <si>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</si>
  <si>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</si>
  <si>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</si>
  <si>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</si>
  <si>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Sum of Salary</t>
  </si>
  <si>
    <t>Salaries to Departments</t>
  </si>
  <si>
    <t>Total</t>
  </si>
  <si>
    <t>Column Labels</t>
  </si>
  <si>
    <t>Age range to gender</t>
  </si>
  <si>
    <t xml:space="preserve">Total </t>
  </si>
  <si>
    <t>MALE</t>
  </si>
  <si>
    <t>FEMALE</t>
  </si>
  <si>
    <t>ie. The percentage breakdown of the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</si>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</sst>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font>
      <sz val="11"/>
      <color theme="1"/>
      <name val="Aptos Narrow"/>
      <family val="2"/>
      <scheme val="minor"/>
    </font>
    <font>
      <sz val="11"/>
      <color theme="1"/>
      <name val="Kulim Park"/>
    </font>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b/>
      <sz val="11"/>
      <color theme="1"/>
      <name val="Kulim Park"/>
    </font>
    <font>
      <sz val="12"/>
      <color theme="1"/>
      <name val="Times New Roman"/>
      <family val="1"/>
    </font>
    <font>
      <b/>
      <sz val="12"/>
      <color theme="1"/>
      <name val="Times New Roman"/>
      <family val="1"/>
    </font>
    <font>
      <sz val="12"/>
      <color theme="0"/>
      <name val="Times New Roman"/>
      <family val="1"/>
    </font>
    <font>
      <sz val="12"/>
      <color theme="1"/>
      <name val="Ytimes"/>
    </font>
    <font>
      <sz val="12"/>
      <color theme="0"/>
      <name val="Ytimes"/>
    </font>
  </fonts>
  <fills count="5">
    <fill>
      <patternFill patternType="none"/>
    </fill>
    <fill>
      <patternFill patternType="gray125"/>
    </fill>
    <fill>
      <patternFill patternType="solid">
        <fgColor rgb="FF282828"/>
        <bgColor indexed="64"/>
      </patternFill>
    </fill>
    <fill>
      <patternFill patternType="solid">
        <fgColor theme="0"/>
        <bgColor indexed="64"/>
      </patternFill>
    </fill>
    <fill>
      <patternFill patternType="solid">
        <fgColor theme="2" tint="-0.749992370372631"/>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0" xfId="0" applyFont="1" applyAlignment="1">
      <alignment horizontal="center" vertical="center"/>
    </xf>
    <xf numFmtId="0" fontId="5" fillId="2" borderId="0" xfId="0" applyFont="1" applyFill="1"/>
    <xf numFmtId="0" fontId="6" fillId="3" borderId="0" xfId="0" applyFont="1" applyFill="1" applyAlignment="1">
      <alignment horizontal="center" vertical="center"/>
    </xf>
    <xf numFmtId="0" fontId="1" fillId="3" borderId="1" xfId="0" applyFont="1" applyFill="1" applyBorder="1" applyAlignment="1">
      <alignment horizontal="center" vertical="center"/>
    </xf>
    <xf numFmtId="0" fontId="7" fillId="0" borderId="0" xfId="0" pivotButton="1" applyFont="1"/>
    <xf numFmtId="0" fontId="7" fillId="0" borderId="0" xfId="0" applyFont="1"/>
    <xf numFmtId="0" fontId="7" fillId="0" borderId="0" xfId="0" applyFont="1" applyAlignment="1">
      <alignment horizontal="left"/>
    </xf>
    <xf numFmtId="9" fontId="3" fillId="0" borderId="0" xfId="1" applyFont="1"/>
    <xf numFmtId="9" fontId="8" fillId="0" borderId="0" xfId="1" applyFont="1"/>
    <xf numFmtId="0" fontId="8" fillId="0" borderId="0" xfId="0" applyFont="1"/>
    <xf numFmtId="0" fontId="10" fillId="0" borderId="0" xfId="0" applyFont="1"/>
    <xf numFmtId="164" fontId="7" fillId="0" borderId="0" xfId="0" applyNumberFormat="1" applyFont="1"/>
    <xf numFmtId="164" fontId="8" fillId="0" borderId="0" xfId="0" applyNumberFormat="1" applyFont="1"/>
    <xf numFmtId="0" fontId="11" fillId="4" borderId="0" xfId="0" applyFont="1" applyFill="1" applyAlignment="1">
      <alignment horizontal="center"/>
    </xf>
    <xf numFmtId="0" fontId="9" fillId="4" borderId="0" xfId="0" applyFont="1" applyFill="1" applyAlignment="1">
      <alignment horizontal="center"/>
    </xf>
    <xf numFmtId="0" fontId="4" fillId="4" borderId="0" xfId="0" applyFont="1" applyFill="1" applyAlignment="1">
      <alignment horizontal="center"/>
    </xf>
    <xf numFmtId="0" fontId="7" fillId="0" borderId="0" xfId="0" applyNumberFormat="1" applyFont="1"/>
  </cellXfs>
  <cellStyles count="2">
    <cellStyle name="Normal" xfId="0" builtinId="0"/>
    <cellStyle name="Percent" xfId="1" builtinId="5"/>
  </cellStyles>
  <dxfs count="1710">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4" formatCode="0.0"/>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val="0"/>
        <i val="0"/>
        <sz val="11"/>
        <color rgb="FF1F1F1F"/>
        <name val="Arial"/>
        <family val="2"/>
      </font>
    </dxf>
    <dxf>
      <fill>
        <patternFill>
          <fgColor rgb="FF1F1F1F"/>
          <bgColor rgb="FF1F1F1F"/>
        </patternFill>
      </fill>
    </dxf>
    <dxf>
      <font>
        <color theme="0"/>
      </font>
    </dxf>
    <dxf>
      <font>
        <name val="Arial"/>
        <family val="2"/>
        <scheme val="none"/>
      </font>
      <fill>
        <patternFill>
          <fgColor rgb="FF1F1F1F"/>
          <bgColor rgb="FF1F1F1F"/>
        </patternFill>
      </fill>
    </dxf>
  </dxfs>
  <tableStyles count="3" defaultTableStyle="TableStyleMedium2" defaultPivotStyle="PivotStyleLight16">
    <tableStyle name="Slicer Style 1" pivot="0" table="0" count="7" xr9:uid="{78AE9094-C3EC-44FF-9437-FD1F41B523EC}">
      <tableStyleElement type="wholeTable" dxfId="1709"/>
      <tableStyleElement type="headerRow" dxfId="1708"/>
    </tableStyle>
    <tableStyle name="Slicer Style 2" pivot="0" table="0" count="1" xr9:uid="{9A114ED1-28A7-430B-A4B5-1853B84C76B2}"/>
    <tableStyle name="Slicer Style 3" pivot="0" table="0" count="5" xr9:uid="{0BADBE5A-E254-4CB2-85C0-E1EE4A4CD4DD}">
      <tableStyleElement type="wholeTable" dxfId="1707"/>
      <tableStyleElement type="headerRow" dxfId="1706"/>
    </tableStyle>
  </tableStyles>
  <colors>
    <mruColors>
      <color rgb="FF1F1F1F"/>
      <color rgb="FFE5B244"/>
      <color rgb="FF77933C"/>
      <color rgb="FF948A54"/>
      <color rgb="FF282828"/>
    </mruColors>
  </colors>
  <extLst>
    <ext xmlns:x14="http://schemas.microsoft.com/office/spreadsheetml/2009/9/main" uri="{46F421CA-312F-682f-3DD2-61675219B42D}">
      <x14:dxfs count="9">
        <dxf>
          <font>
            <b val="0"/>
            <i val="0"/>
            <sz val="11"/>
            <color theme="1"/>
            <name val="Arial"/>
            <family val="2"/>
            <scheme val="none"/>
          </font>
          <fill>
            <patternFill>
              <fgColor rgb="FFE5B244"/>
              <bgColor rgb="FFE5B244"/>
            </patternFill>
          </fill>
        </dxf>
        <dxf>
          <fill>
            <patternFill>
              <fgColor rgb="FFE5B244"/>
              <bgColor rgb="FFE5B244"/>
            </patternFill>
          </fill>
        </dxf>
        <dxf>
          <font>
            <b val="0"/>
            <i val="0"/>
            <sz val="10"/>
            <color theme="1"/>
            <name val="Arial"/>
            <family val="2"/>
          </font>
          <fill>
            <patternFill>
              <fgColor rgb="FFE5B244"/>
              <bgColor rgb="FFE5B244"/>
            </patternFill>
          </fill>
        </dxf>
        <dxf>
          <fill>
            <patternFill>
              <fgColor rgb="FFE5B244"/>
              <bgColor rgb="FFE5B244"/>
            </patternFill>
          </fill>
        </dxf>
        <dxf>
          <font>
            <b val="0"/>
            <i val="0"/>
            <sz val="11"/>
            <color rgb="FF1F1F1F"/>
            <name val="Arial"/>
            <family val="2"/>
          </font>
          <fill>
            <patternFill>
              <fgColor rgb="FFE5B244"/>
              <bgColor rgb="FFE5B244"/>
            </patternFill>
          </fill>
        </dxf>
        <dxf>
          <font>
            <b val="0"/>
            <i val="0"/>
            <sz val="11"/>
            <color rgb="FF1F1F1F"/>
            <name val="Arial"/>
            <family val="2"/>
          </font>
          <fill>
            <patternFill>
              <fgColor rgb="FFE5B244"/>
              <bgColor rgb="FFE5B244"/>
            </patternFill>
          </fill>
        </dxf>
        <dxf>
          <font>
            <b val="0"/>
            <i val="0"/>
            <sz val="11"/>
            <color rgb="FF1F1F1F"/>
            <name val="Arial"/>
            <family val="2"/>
            <scheme val="none"/>
          </font>
          <fill>
            <patternFill>
              <fgColor rgb="FFE5B244"/>
              <bgColor rgb="FFE5B244"/>
            </patternFill>
          </fill>
        </dxf>
        <dxf>
          <font>
            <b val="0"/>
            <i val="0"/>
            <sz val="10"/>
            <color rgb="FF1F1F1F"/>
            <name val="Arial"/>
            <family val="2"/>
            <scheme val="none"/>
          </font>
          <fill>
            <patternFill>
              <fgColor rgb="FFE5B244"/>
              <bgColor rgb="FFE5B244"/>
            </patternFill>
          </fill>
        </dxf>
        <dxf>
          <font>
            <b val="0"/>
            <i val="0"/>
            <sz val="11"/>
            <color rgb="FF1F1F1F"/>
            <name val="Arial"/>
            <family val="2"/>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selectedItemWithNoData" dxfId="6"/>
            <x14:slicerStyleElement type="hoveredUnselectedItemWithData" dxfId="5"/>
            <x14:slicerStyleElement type="hoveredSelectedItemWithData" dxfId="4"/>
          </x14:slicerStyleElements>
        </x14:slicerStyle>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48341232227488"/>
          <c:y val="0.2277432712215321"/>
          <c:w val="0.58925750394944709"/>
          <c:h val="0.77225672877846796"/>
        </c:manualLayout>
      </c:layout>
      <c:pieChart>
        <c:varyColors val="1"/>
        <c:ser>
          <c:idx val="0"/>
          <c:order val="0"/>
          <c:spPr>
            <a:ln>
              <a:solidFill>
                <a:srgbClr val="1F1F1F"/>
              </a:solidFill>
            </a:ln>
          </c:spPr>
          <c:dPt>
            <c:idx val="0"/>
            <c:bubble3D val="0"/>
            <c:spPr>
              <a:solidFill>
                <a:srgbClr val="E5B244"/>
              </a:solidFill>
              <a:ln w="19050">
                <a:solidFill>
                  <a:srgbClr val="1F1F1F"/>
                </a:solidFill>
              </a:ln>
              <a:effectLst/>
            </c:spPr>
            <c:extLst>
              <c:ext xmlns:c16="http://schemas.microsoft.com/office/drawing/2014/chart" uri="{C3380CC4-5D6E-409C-BE32-E72D297353CC}">
                <c16:uniqueId val="{00000001-3F33-4C66-8C46-44C9605B2A1B}"/>
              </c:ext>
            </c:extLst>
          </c:dPt>
          <c:dPt>
            <c:idx val="1"/>
            <c:bubble3D val="0"/>
            <c:spPr>
              <a:solidFill>
                <a:schemeClr val="bg2">
                  <a:lumMod val="50000"/>
                </a:schemeClr>
              </a:solidFill>
              <a:ln w="19050">
                <a:solidFill>
                  <a:srgbClr val="1F1F1F"/>
                </a:solidFill>
              </a:ln>
              <a:effectLst/>
            </c:spPr>
            <c:extLst>
              <c:ext xmlns:c16="http://schemas.microsoft.com/office/drawing/2014/chart" uri="{C3380CC4-5D6E-409C-BE32-E72D297353CC}">
                <c16:uniqueId val="{00000003-3F33-4C66-8C46-44C9605B2A1B}"/>
              </c:ext>
            </c:extLst>
          </c:dPt>
          <c:dPt>
            <c:idx val="2"/>
            <c:bubble3D val="0"/>
            <c:spPr>
              <a:solidFill>
                <a:schemeClr val="bg1"/>
              </a:solidFill>
              <a:ln w="19050">
                <a:solidFill>
                  <a:srgbClr val="1F1F1F"/>
                </a:solidFill>
              </a:ln>
              <a:effectLst/>
            </c:spPr>
            <c:extLst>
              <c:ext xmlns:c16="http://schemas.microsoft.com/office/drawing/2014/chart" uri="{C3380CC4-5D6E-409C-BE32-E72D297353CC}">
                <c16:uniqueId val="{00000005-3F33-4C66-8C46-44C9605B2A1B}"/>
              </c:ext>
            </c:extLst>
          </c:dPt>
          <c:cat>
            <c:strRef>
              <c:f>Pivot_tables!$B$10:$B$12</c:f>
              <c:strCache>
                <c:ptCount val="3"/>
                <c:pt idx="0">
                  <c:v>Contract</c:v>
                </c:pt>
                <c:pt idx="1">
                  <c:v>Full-Time</c:v>
                </c:pt>
                <c:pt idx="2">
                  <c:v>Part-Time</c:v>
                </c:pt>
              </c:strCache>
            </c:strRef>
          </c:cat>
          <c:val>
            <c:numRef>
              <c:f>Pivot_tables!$C$10:$C$12</c:f>
              <c:numCache>
                <c:formatCode>General</c:formatCode>
                <c:ptCount val="3"/>
                <c:pt idx="0">
                  <c:v>17</c:v>
                </c:pt>
                <c:pt idx="1">
                  <c:v>20</c:v>
                </c:pt>
                <c:pt idx="2">
                  <c:v>13</c:v>
                </c:pt>
              </c:numCache>
            </c:numRef>
          </c:val>
          <c:extLst>
            <c:ext xmlns:c16="http://schemas.microsoft.com/office/drawing/2014/chart" uri="{C3380CC4-5D6E-409C-BE32-E72D297353CC}">
              <c16:uniqueId val="{00000006-3F33-4C66-8C46-44C9605B2A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Dasboard.xlsx]Pivot_tables!PivotTable5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Pivot_tables!$I$6:$I$11</c:f>
              <c:strCache>
                <c:ptCount val="5"/>
                <c:pt idx="0">
                  <c:v>18-25</c:v>
                </c:pt>
                <c:pt idx="1">
                  <c:v>26-35</c:v>
                </c:pt>
                <c:pt idx="2">
                  <c:v>36-45</c:v>
                </c:pt>
                <c:pt idx="3">
                  <c:v>46-55</c:v>
                </c:pt>
                <c:pt idx="4">
                  <c:v>56 &lt;</c:v>
                </c:pt>
              </c:strCache>
            </c:strRef>
          </c:cat>
          <c:val>
            <c:numRef>
              <c:f>Pivot_tables!$J$6:$J$11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3654-4415-9029-D9EBE7F07F77}"/>
            </c:ext>
          </c:extLst>
        </c:ser>
        <c:ser>
          <c:idx val="1"/>
          <c:order val="1"/>
          <c:tx>
            <c:strRef>
              <c:f>Pivot_tables!$K$4:$K$5</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Pivot_tables!$I$6:$I$11</c:f>
              <c:strCache>
                <c:ptCount val="5"/>
                <c:pt idx="0">
                  <c:v>18-25</c:v>
                </c:pt>
                <c:pt idx="1">
                  <c:v>26-35</c:v>
                </c:pt>
                <c:pt idx="2">
                  <c:v>36-45</c:v>
                </c:pt>
                <c:pt idx="3">
                  <c:v>46-55</c:v>
                </c:pt>
                <c:pt idx="4">
                  <c:v>56 &lt;</c:v>
                </c:pt>
              </c:strCache>
            </c:strRef>
          </c:cat>
          <c:val>
            <c:numRef>
              <c:f>Pivot_tables!$K$6:$K$11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3-FA41-4B9A-A8B4-C58CDC458DF4}"/>
            </c:ext>
          </c:extLst>
        </c:ser>
        <c:dLbls>
          <c:dLblPos val="outEnd"/>
          <c:showLegendKey val="0"/>
          <c:showVal val="1"/>
          <c:showCatName val="0"/>
          <c:showSerName val="0"/>
          <c:showPercent val="0"/>
          <c:showBubbleSize val="0"/>
        </c:dLbls>
        <c:gapWidth val="219"/>
        <c:overlap val="-27"/>
        <c:axId val="1945943792"/>
        <c:axId val="1945944272"/>
      </c:barChart>
      <c:catAx>
        <c:axId val="194594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5944272"/>
        <c:crosses val="autoZero"/>
        <c:auto val="1"/>
        <c:lblAlgn val="ctr"/>
        <c:lblOffset val="100"/>
        <c:noMultiLvlLbl val="0"/>
      </c:catAx>
      <c:valAx>
        <c:axId val="1945944272"/>
        <c:scaling>
          <c:orientation val="minMax"/>
        </c:scaling>
        <c:delete val="1"/>
        <c:axPos val="l"/>
        <c:majorGridlines>
          <c:spPr>
            <a:ln w="9525" cap="flat" cmpd="sng" algn="ctr">
              <a:solidFill>
                <a:srgbClr val="E5B244">
                  <a:alpha val="21000"/>
                </a:srgbClr>
              </a:solidFill>
              <a:prstDash val="dashDot"/>
              <a:round/>
            </a:ln>
            <a:effectLst/>
          </c:spPr>
        </c:majorGridlines>
        <c:numFmt formatCode="General" sourceLinked="1"/>
        <c:majorTickMark val="out"/>
        <c:minorTickMark val="none"/>
        <c:tickLblPos val="nextTo"/>
        <c:crossAx val="19459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Pivot_tables!$P$10</c:f>
              <c:numCache>
                <c:formatCode>0%</c:formatCode>
                <c:ptCount val="1"/>
                <c:pt idx="0">
                  <c:v>0.46</c:v>
                </c:pt>
              </c:numCache>
            </c:numRef>
          </c:val>
          <c:extLst>
            <c:ext xmlns:c16="http://schemas.microsoft.com/office/drawing/2014/chart" uri="{C3380CC4-5D6E-409C-BE32-E72D297353CC}">
              <c16:uniqueId val="{00000000-68A3-40CD-A1D6-33B0E72BF4B8}"/>
            </c:ext>
          </c:extLst>
        </c:ser>
        <c:ser>
          <c:idx val="1"/>
          <c:order val="1"/>
          <c:spPr>
            <a:solidFill>
              <a:srgbClr val="1F1F1F"/>
            </a:solidFill>
            <a:ln>
              <a:noFill/>
            </a:ln>
            <a:effectLst/>
          </c:spPr>
          <c:invertIfNegative val="0"/>
          <c:val>
            <c:numRef>
              <c:f>Pivot_tables!$Q$10</c:f>
              <c:numCache>
                <c:formatCode>0%</c:formatCode>
                <c:ptCount val="1"/>
                <c:pt idx="0">
                  <c:v>0.54</c:v>
                </c:pt>
              </c:numCache>
            </c:numRef>
          </c:val>
          <c:extLst>
            <c:ext xmlns:c16="http://schemas.microsoft.com/office/drawing/2014/chart" uri="{C3380CC4-5D6E-409C-BE32-E72D297353CC}">
              <c16:uniqueId val="{00000001-68A3-40CD-A1D6-33B0E72BF4B8}"/>
            </c:ext>
          </c:extLst>
        </c:ser>
        <c:dLbls>
          <c:showLegendKey val="0"/>
          <c:showVal val="0"/>
          <c:showCatName val="0"/>
          <c:showSerName val="0"/>
          <c:showPercent val="0"/>
          <c:showBubbleSize val="0"/>
        </c:dLbls>
        <c:gapWidth val="150"/>
        <c:overlap val="100"/>
        <c:axId val="1770778560"/>
        <c:axId val="1770780960"/>
      </c:barChart>
      <c:catAx>
        <c:axId val="1770778560"/>
        <c:scaling>
          <c:orientation val="minMax"/>
        </c:scaling>
        <c:delete val="1"/>
        <c:axPos val="l"/>
        <c:majorTickMark val="none"/>
        <c:minorTickMark val="none"/>
        <c:tickLblPos val="nextTo"/>
        <c:crossAx val="1770780960"/>
        <c:crosses val="autoZero"/>
        <c:auto val="1"/>
        <c:lblAlgn val="ctr"/>
        <c:lblOffset val="100"/>
        <c:noMultiLvlLbl val="0"/>
      </c:catAx>
      <c:valAx>
        <c:axId val="1770780960"/>
        <c:scaling>
          <c:orientation val="minMax"/>
        </c:scaling>
        <c:delete val="1"/>
        <c:axPos val="b"/>
        <c:numFmt formatCode="0%" sourceLinked="1"/>
        <c:majorTickMark val="none"/>
        <c:minorTickMark val="none"/>
        <c:tickLblPos val="nextTo"/>
        <c:crossAx val="177077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25149463448806E-2"/>
          <c:y val="0.18503735820428485"/>
          <c:w val="0.84414970107310239"/>
          <c:h val="0.69892934245508354"/>
        </c:manualLayout>
      </c:layout>
      <c:barChart>
        <c:barDir val="bar"/>
        <c:grouping val="percentStacked"/>
        <c:varyColors val="0"/>
        <c:ser>
          <c:idx val="0"/>
          <c:order val="0"/>
          <c:spPr>
            <a:solidFill>
              <a:srgbClr val="E5B244"/>
            </a:solidFill>
            <a:ln>
              <a:noFill/>
            </a:ln>
            <a:effectLst/>
          </c:spPr>
          <c:invertIfNegative val="0"/>
          <c:val>
            <c:numRef>
              <c:f>Pivot_tables!$P$11</c:f>
              <c:numCache>
                <c:formatCode>0%</c:formatCode>
                <c:ptCount val="1"/>
                <c:pt idx="0">
                  <c:v>0.16</c:v>
                </c:pt>
              </c:numCache>
            </c:numRef>
          </c:val>
          <c:extLst>
            <c:ext xmlns:c16="http://schemas.microsoft.com/office/drawing/2014/chart" uri="{C3380CC4-5D6E-409C-BE32-E72D297353CC}">
              <c16:uniqueId val="{00000000-01D5-4691-A269-226509F11B9D}"/>
            </c:ext>
          </c:extLst>
        </c:ser>
        <c:ser>
          <c:idx val="1"/>
          <c:order val="1"/>
          <c:spPr>
            <a:solidFill>
              <a:srgbClr val="1F1F1F"/>
            </a:solidFill>
            <a:ln>
              <a:noFill/>
            </a:ln>
            <a:effectLst/>
          </c:spPr>
          <c:invertIfNegative val="0"/>
          <c:val>
            <c:numRef>
              <c:f>Pivot_tables!$Q$11</c:f>
              <c:numCache>
                <c:formatCode>0%</c:formatCode>
                <c:ptCount val="1"/>
                <c:pt idx="0">
                  <c:v>0.84</c:v>
                </c:pt>
              </c:numCache>
            </c:numRef>
          </c:val>
          <c:extLst>
            <c:ext xmlns:c16="http://schemas.microsoft.com/office/drawing/2014/chart" uri="{C3380CC4-5D6E-409C-BE32-E72D297353CC}">
              <c16:uniqueId val="{00000001-01D5-4691-A269-226509F11B9D}"/>
            </c:ext>
          </c:extLst>
        </c:ser>
        <c:dLbls>
          <c:showLegendKey val="0"/>
          <c:showVal val="0"/>
          <c:showCatName val="0"/>
          <c:showSerName val="0"/>
          <c:showPercent val="0"/>
          <c:showBubbleSize val="0"/>
        </c:dLbls>
        <c:gapWidth val="150"/>
        <c:overlap val="100"/>
        <c:axId val="1550241536"/>
        <c:axId val="1687467776"/>
      </c:barChart>
      <c:catAx>
        <c:axId val="1550241536"/>
        <c:scaling>
          <c:orientation val="minMax"/>
        </c:scaling>
        <c:delete val="1"/>
        <c:axPos val="l"/>
        <c:majorTickMark val="none"/>
        <c:minorTickMark val="none"/>
        <c:tickLblPos val="nextTo"/>
        <c:crossAx val="1687467776"/>
        <c:crosses val="autoZero"/>
        <c:auto val="1"/>
        <c:lblAlgn val="ctr"/>
        <c:lblOffset val="100"/>
        <c:noMultiLvlLbl val="0"/>
      </c:catAx>
      <c:valAx>
        <c:axId val="1687467776"/>
        <c:scaling>
          <c:orientation val="minMax"/>
        </c:scaling>
        <c:delete val="1"/>
        <c:axPos val="b"/>
        <c:numFmt formatCode="0%" sourceLinked="1"/>
        <c:majorTickMark val="none"/>
        <c:minorTickMark val="none"/>
        <c:tickLblPos val="nextTo"/>
        <c:crossAx val="155024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Pivot_tables!$P$12</c:f>
              <c:numCache>
                <c:formatCode>0%</c:formatCode>
                <c:ptCount val="1"/>
                <c:pt idx="0">
                  <c:v>0.38</c:v>
                </c:pt>
              </c:numCache>
            </c:numRef>
          </c:val>
          <c:extLst>
            <c:ext xmlns:c16="http://schemas.microsoft.com/office/drawing/2014/chart" uri="{C3380CC4-5D6E-409C-BE32-E72D297353CC}">
              <c16:uniqueId val="{00000000-2DE8-4300-8AF6-E5D3F751882B}"/>
            </c:ext>
          </c:extLst>
        </c:ser>
        <c:ser>
          <c:idx val="1"/>
          <c:order val="1"/>
          <c:spPr>
            <a:solidFill>
              <a:srgbClr val="1F1F1F"/>
            </a:solidFill>
            <a:ln>
              <a:noFill/>
            </a:ln>
            <a:effectLst/>
          </c:spPr>
          <c:invertIfNegative val="0"/>
          <c:val>
            <c:numRef>
              <c:f>Pivot_tables!$Q$12</c:f>
              <c:numCache>
                <c:formatCode>0%</c:formatCode>
                <c:ptCount val="1"/>
                <c:pt idx="0">
                  <c:v>0.62</c:v>
                </c:pt>
              </c:numCache>
            </c:numRef>
          </c:val>
          <c:extLst>
            <c:ext xmlns:c16="http://schemas.microsoft.com/office/drawing/2014/chart" uri="{C3380CC4-5D6E-409C-BE32-E72D297353CC}">
              <c16:uniqueId val="{00000001-2DE8-4300-8AF6-E5D3F751882B}"/>
            </c:ext>
          </c:extLst>
        </c:ser>
        <c:dLbls>
          <c:showLegendKey val="0"/>
          <c:showVal val="0"/>
          <c:showCatName val="0"/>
          <c:showSerName val="0"/>
          <c:showPercent val="0"/>
          <c:showBubbleSize val="0"/>
        </c:dLbls>
        <c:gapWidth val="150"/>
        <c:overlap val="100"/>
        <c:axId val="1965771792"/>
        <c:axId val="1965772272"/>
      </c:barChart>
      <c:catAx>
        <c:axId val="1965771792"/>
        <c:scaling>
          <c:orientation val="minMax"/>
        </c:scaling>
        <c:delete val="1"/>
        <c:axPos val="l"/>
        <c:majorTickMark val="none"/>
        <c:minorTickMark val="none"/>
        <c:tickLblPos val="nextTo"/>
        <c:crossAx val="1965772272"/>
        <c:crosses val="autoZero"/>
        <c:auto val="1"/>
        <c:lblAlgn val="ctr"/>
        <c:lblOffset val="100"/>
        <c:noMultiLvlLbl val="0"/>
      </c:catAx>
      <c:valAx>
        <c:axId val="1965772272"/>
        <c:scaling>
          <c:orientation val="minMax"/>
        </c:scaling>
        <c:delete val="1"/>
        <c:axPos val="b"/>
        <c:numFmt formatCode="0%" sourceLinked="1"/>
        <c:majorTickMark val="none"/>
        <c:minorTickMark val="none"/>
        <c:tickLblPos val="nextTo"/>
        <c:crossAx val="196577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62360387043436"/>
          <c:y val="8.0346116807341536E-2"/>
          <c:w val="0.37528541812441379"/>
          <c:h val="0.67396541185776437"/>
        </c:manualLayout>
      </c:layout>
      <c:doughnutChart>
        <c:varyColors val="1"/>
        <c:ser>
          <c:idx val="0"/>
          <c:order val="0"/>
          <c:spPr>
            <a:ln>
              <a:solidFill>
                <a:schemeClr val="tx1">
                  <a:lumMod val="95000"/>
                  <a:lumOff val="5000"/>
                </a:schemeClr>
              </a:solidFill>
            </a:ln>
          </c:spPr>
          <c:dPt>
            <c:idx val="0"/>
            <c:bubble3D val="0"/>
            <c:spPr>
              <a:solidFill>
                <a:srgbClr val="E5B244"/>
              </a:solidFill>
              <a:ln w="19050">
                <a:noFill/>
              </a:ln>
              <a:effectLst/>
            </c:spPr>
            <c:extLst>
              <c:ext xmlns:c16="http://schemas.microsoft.com/office/drawing/2014/chart" uri="{C3380CC4-5D6E-409C-BE32-E72D297353CC}">
                <c16:uniqueId val="{00000001-21A0-4FC0-A9C6-12CF59BAF4A7}"/>
              </c:ext>
            </c:extLst>
          </c:dPt>
          <c:dPt>
            <c:idx val="1"/>
            <c:bubble3D val="0"/>
            <c:spPr>
              <a:solidFill>
                <a:srgbClr val="1F1F1F"/>
              </a:solidFill>
              <a:ln w="19050">
                <a:noFill/>
              </a:ln>
              <a:effectLst/>
            </c:spPr>
            <c:extLst>
              <c:ext xmlns:c16="http://schemas.microsoft.com/office/drawing/2014/chart" uri="{C3380CC4-5D6E-409C-BE32-E72D297353CC}">
                <c16:uniqueId val="{00000003-21A0-4FC0-A9C6-12CF59BAF4A7}"/>
              </c:ext>
            </c:extLst>
          </c:dPt>
          <c:val>
            <c:numRef>
              <c:f>Pivot_tables!$K$21:$L$21</c:f>
              <c:numCache>
                <c:formatCode>0%</c:formatCode>
                <c:ptCount val="2"/>
                <c:pt idx="0">
                  <c:v>0.48</c:v>
                </c:pt>
                <c:pt idx="1">
                  <c:v>0.52</c:v>
                </c:pt>
              </c:numCache>
            </c:numRef>
          </c:val>
          <c:extLst>
            <c:ext xmlns:c16="http://schemas.microsoft.com/office/drawing/2014/chart" uri="{C3380CC4-5D6E-409C-BE32-E72D297353CC}">
              <c16:uniqueId val="{00000004-21A0-4FC0-A9C6-12CF59BAF4A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436238573626571"/>
          <c:y val="9.3607878661185057E-2"/>
          <c:w val="0.36036036036036034"/>
          <c:h val="0.71794871794871795"/>
        </c:manualLayout>
      </c:layout>
      <c:doughnutChart>
        <c:varyColors val="1"/>
        <c:ser>
          <c:idx val="0"/>
          <c:order val="0"/>
          <c:dPt>
            <c:idx val="0"/>
            <c:bubble3D val="0"/>
            <c:spPr>
              <a:solidFill>
                <a:schemeClr val="bg1"/>
              </a:solidFill>
              <a:ln w="19050">
                <a:noFill/>
              </a:ln>
              <a:effectLst/>
            </c:spPr>
            <c:extLst>
              <c:ext xmlns:c16="http://schemas.microsoft.com/office/drawing/2014/chart" uri="{C3380CC4-5D6E-409C-BE32-E72D297353CC}">
                <c16:uniqueId val="{00000001-3570-4B69-B277-5B8236785E47}"/>
              </c:ext>
            </c:extLst>
          </c:dPt>
          <c:dPt>
            <c:idx val="1"/>
            <c:bubble3D val="0"/>
            <c:spPr>
              <a:solidFill>
                <a:srgbClr val="1F1F1F"/>
              </a:solidFill>
              <a:ln w="19050">
                <a:noFill/>
              </a:ln>
              <a:effectLst/>
            </c:spPr>
            <c:extLst>
              <c:ext xmlns:c16="http://schemas.microsoft.com/office/drawing/2014/chart" uri="{C3380CC4-5D6E-409C-BE32-E72D297353CC}">
                <c16:uniqueId val="{00000003-3570-4B69-B277-5B8236785E47}"/>
              </c:ext>
            </c:extLst>
          </c:dPt>
          <c:val>
            <c:numRef>
              <c:f>Pivot_tables!$K$20:$L$20</c:f>
              <c:numCache>
                <c:formatCode>0%</c:formatCode>
                <c:ptCount val="2"/>
                <c:pt idx="0">
                  <c:v>0.52</c:v>
                </c:pt>
                <c:pt idx="1">
                  <c:v>0.48</c:v>
                </c:pt>
              </c:numCache>
            </c:numRef>
          </c:val>
          <c:extLst>
            <c:ext xmlns:c16="http://schemas.microsoft.com/office/drawing/2014/chart" uri="{C3380CC4-5D6E-409C-BE32-E72D297353CC}">
              <c16:uniqueId val="{00000004-3570-4B69-B277-5B8236785E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Pivot_tables!$E$12</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Pivot_tables!$G$12</c:f>
              <c:numCache>
                <c:formatCode>General</c:formatCode>
                <c:ptCount val="1"/>
                <c:pt idx="0">
                  <c:v>28</c:v>
                </c:pt>
              </c:numCache>
            </c:numRef>
          </c:val>
          <c:extLst>
            <c:ext xmlns:c16="http://schemas.microsoft.com/office/drawing/2014/chart" uri="{C3380CC4-5D6E-409C-BE32-E72D297353CC}">
              <c16:uniqueId val="{00000000-8883-4A21-9F59-460CDC783061}"/>
            </c:ext>
          </c:extLst>
        </c:ser>
        <c:ser>
          <c:idx val="1"/>
          <c:order val="1"/>
          <c:tx>
            <c:strRef>
              <c:f>Pivot_tables!$E$13</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Pivot_tables!$G$13</c:f>
              <c:numCache>
                <c:formatCode>General</c:formatCode>
                <c:ptCount val="1"/>
                <c:pt idx="0">
                  <c:v>110</c:v>
                </c:pt>
              </c:numCache>
            </c:numRef>
          </c:val>
          <c:extLst>
            <c:ext xmlns:c16="http://schemas.microsoft.com/office/drawing/2014/chart" uri="{C3380CC4-5D6E-409C-BE32-E72D297353CC}">
              <c16:uniqueId val="{00000001-8883-4A21-9F59-460CDC783061}"/>
            </c:ext>
          </c:extLst>
        </c:ser>
        <c:ser>
          <c:idx val="2"/>
          <c:order val="2"/>
          <c:tx>
            <c:strRef>
              <c:f>Pivot_tables!$E$14</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Pivot_tables!$G$14</c:f>
              <c:numCache>
                <c:formatCode>General</c:formatCode>
                <c:ptCount val="1"/>
                <c:pt idx="0">
                  <c:v>104</c:v>
                </c:pt>
              </c:numCache>
            </c:numRef>
          </c:val>
          <c:extLst>
            <c:ext xmlns:c16="http://schemas.microsoft.com/office/drawing/2014/chart" uri="{C3380CC4-5D6E-409C-BE32-E72D297353CC}">
              <c16:uniqueId val="{00000002-8883-4A21-9F59-460CDC783061}"/>
            </c:ext>
          </c:extLst>
        </c:ser>
        <c:ser>
          <c:idx val="3"/>
          <c:order val="3"/>
          <c:tx>
            <c:strRef>
              <c:f>Pivot_tables!$E$15</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Pivot_tables!$G$15</c:f>
              <c:numCache>
                <c:formatCode>General</c:formatCode>
                <c:ptCount val="1"/>
                <c:pt idx="0">
                  <c:v>123</c:v>
                </c:pt>
              </c:numCache>
            </c:numRef>
          </c:val>
          <c:extLst>
            <c:ext xmlns:c16="http://schemas.microsoft.com/office/drawing/2014/chart" uri="{C3380CC4-5D6E-409C-BE32-E72D297353CC}">
              <c16:uniqueId val="{00000003-8883-4A21-9F59-460CDC783061}"/>
            </c:ext>
          </c:extLst>
        </c:ser>
        <c:ser>
          <c:idx val="4"/>
          <c:order val="4"/>
          <c:tx>
            <c:strRef>
              <c:f>Pivot_tables!$E$16</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Pivot_tables!$G$16</c:f>
              <c:numCache>
                <c:formatCode>General</c:formatCode>
                <c:ptCount val="1"/>
                <c:pt idx="0">
                  <c:v>122</c:v>
                </c:pt>
              </c:numCache>
            </c:numRef>
          </c:val>
          <c:extLst>
            <c:ext xmlns:c16="http://schemas.microsoft.com/office/drawing/2014/chart" uri="{C3380CC4-5D6E-409C-BE32-E72D297353CC}">
              <c16:uniqueId val="{00000004-8883-4A21-9F59-460CDC783061}"/>
            </c:ext>
          </c:extLst>
        </c:ser>
        <c:dLbls>
          <c:dLblPos val="outEnd"/>
          <c:showLegendKey val="0"/>
          <c:showVal val="1"/>
          <c:showCatName val="0"/>
          <c:showSerName val="0"/>
          <c:showPercent val="0"/>
          <c:showBubbleSize val="0"/>
        </c:dLbls>
        <c:gapWidth val="219"/>
        <c:overlap val="-27"/>
        <c:axId val="2004531616"/>
        <c:axId val="2004532096"/>
      </c:barChart>
      <c:catAx>
        <c:axId val="2004531616"/>
        <c:scaling>
          <c:orientation val="minMax"/>
        </c:scaling>
        <c:delete val="1"/>
        <c:axPos val="b"/>
        <c:numFmt formatCode="General" sourceLinked="1"/>
        <c:majorTickMark val="none"/>
        <c:minorTickMark val="none"/>
        <c:tickLblPos val="nextTo"/>
        <c:crossAx val="2004532096"/>
        <c:crosses val="autoZero"/>
        <c:auto val="1"/>
        <c:lblAlgn val="ctr"/>
        <c:lblOffset val="100"/>
        <c:noMultiLvlLbl val="0"/>
      </c:catAx>
      <c:valAx>
        <c:axId val="2004532096"/>
        <c:scaling>
          <c:orientation val="minMax"/>
        </c:scaling>
        <c:delete val="1"/>
        <c:axPos val="l"/>
        <c:majorGridlines>
          <c:spPr>
            <a:ln w="9525" cap="flat" cmpd="sng" algn="ctr">
              <a:solidFill>
                <a:srgbClr val="E5B244">
                  <a:alpha val="21000"/>
                </a:srgbClr>
              </a:solidFill>
              <a:prstDash val="dashDot"/>
              <a:round/>
            </a:ln>
            <a:effectLst/>
          </c:spPr>
        </c:majorGridlines>
        <c:numFmt formatCode="General" sourceLinked="1"/>
        <c:majorTickMark val="none"/>
        <c:minorTickMark val="none"/>
        <c:tickLblPos val="nextTo"/>
        <c:crossAx val="20045316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Dasboard.xlsx]Pivot_tables!PivotTable12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66675">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Pivot_tables!$W$4</c:f>
              <c:strCache>
                <c:ptCount val="1"/>
                <c:pt idx="0">
                  <c:v>Total</c:v>
                </c:pt>
              </c:strCache>
            </c:strRef>
          </c:tx>
          <c:spPr>
            <a:solidFill>
              <a:schemeClr val="bg2">
                <a:lumMod val="50000"/>
              </a:schemeClr>
            </a:solidFill>
            <a:ln w="66675">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Pivot_tables!$V$5:$V$10</c:f>
              <c:strCache>
                <c:ptCount val="5"/>
                <c:pt idx="0">
                  <c:v>Central</c:v>
                </c:pt>
                <c:pt idx="1">
                  <c:v>East</c:v>
                </c:pt>
                <c:pt idx="2">
                  <c:v>North</c:v>
                </c:pt>
                <c:pt idx="3">
                  <c:v>South</c:v>
                </c:pt>
                <c:pt idx="4">
                  <c:v>West</c:v>
                </c:pt>
              </c:strCache>
            </c:strRef>
          </c:cat>
          <c:val>
            <c:numRef>
              <c:f>Pivot_tables!$W$5:$W$10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981A-4FD3-942A-A4FAB19CAC18}"/>
            </c:ext>
          </c:extLst>
        </c:ser>
        <c:dLbls>
          <c:showLegendKey val="0"/>
          <c:showVal val="0"/>
          <c:showCatName val="0"/>
          <c:showSerName val="0"/>
          <c:showPercent val="0"/>
          <c:showBubbleSize val="0"/>
        </c:dLbls>
        <c:gapWidth val="182"/>
        <c:axId val="275333936"/>
        <c:axId val="275320976"/>
      </c:barChart>
      <c:catAx>
        <c:axId val="27533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320976"/>
        <c:crosses val="autoZero"/>
        <c:auto val="1"/>
        <c:lblAlgn val="ctr"/>
        <c:lblOffset val="100"/>
        <c:noMultiLvlLbl val="0"/>
      </c:catAx>
      <c:valAx>
        <c:axId val="275320976"/>
        <c:scaling>
          <c:orientation val="minMax"/>
        </c:scaling>
        <c:delete val="1"/>
        <c:axPos val="b"/>
        <c:numFmt formatCode="General" sourceLinked="1"/>
        <c:majorTickMark val="out"/>
        <c:minorTickMark val="none"/>
        <c:tickLblPos val="nextTo"/>
        <c:crossAx val="2753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111007</xdr:colOff>
      <xdr:row>0</xdr:row>
      <xdr:rowOff>103109</xdr:rowOff>
    </xdr:from>
    <xdr:to>
      <xdr:col>23</xdr:col>
      <xdr:colOff>187960</xdr:colOff>
      <xdr:row>31</xdr:row>
      <xdr:rowOff>63500</xdr:rowOff>
    </xdr:to>
    <xdr:sp macro="" textlink="">
      <xdr:nvSpPr>
        <xdr:cNvPr id="2" name="Rectangle: Rounded Corners 1">
          <a:extLst>
            <a:ext uri="{FF2B5EF4-FFF2-40B4-BE49-F238E27FC236}">
              <a16:creationId xmlns:a16="http://schemas.microsoft.com/office/drawing/2014/main" id="{AE349DBD-E199-3ACC-3344-870C89F47A5D}"/>
            </a:ext>
          </a:extLst>
        </xdr:cNvPr>
        <xdr:cNvSpPr/>
      </xdr:nvSpPr>
      <xdr:spPr>
        <a:xfrm>
          <a:off x="111007" y="103109"/>
          <a:ext cx="14097753" cy="5393451"/>
        </a:xfrm>
        <a:prstGeom prst="roundRect">
          <a:avLst>
            <a:gd name="adj" fmla="val 179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rgbClr val="E5B244"/>
            </a:solidFill>
          </a:endParaRPr>
        </a:p>
      </xdr:txBody>
    </xdr:sp>
    <xdr:clientData/>
  </xdr:twoCellAnchor>
  <xdr:twoCellAnchor>
    <xdr:from>
      <xdr:col>6</xdr:col>
      <xdr:colOff>184220</xdr:colOff>
      <xdr:row>18</xdr:row>
      <xdr:rowOff>121920</xdr:rowOff>
    </xdr:from>
    <xdr:to>
      <xdr:col>11</xdr:col>
      <xdr:colOff>427053</xdr:colOff>
      <xdr:row>30</xdr:row>
      <xdr:rowOff>152400</xdr:rowOff>
    </xdr:to>
    <xdr:sp macro="" textlink="">
      <xdr:nvSpPr>
        <xdr:cNvPr id="5" name="Rectangle: Rounded Corners 4">
          <a:extLst>
            <a:ext uri="{FF2B5EF4-FFF2-40B4-BE49-F238E27FC236}">
              <a16:creationId xmlns:a16="http://schemas.microsoft.com/office/drawing/2014/main" id="{266E3330-C2F6-98C0-DF57-FBB0DDBE6F2D}"/>
            </a:ext>
          </a:extLst>
        </xdr:cNvPr>
        <xdr:cNvSpPr/>
      </xdr:nvSpPr>
      <xdr:spPr>
        <a:xfrm>
          <a:off x="3823159" y="3340981"/>
          <a:ext cx="3275282" cy="2176521"/>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481066</xdr:colOff>
      <xdr:row>18</xdr:row>
      <xdr:rowOff>137160</xdr:rowOff>
    </xdr:from>
    <xdr:to>
      <xdr:col>17</xdr:col>
      <xdr:colOff>178192</xdr:colOff>
      <xdr:row>30</xdr:row>
      <xdr:rowOff>144781</xdr:rowOff>
    </xdr:to>
    <xdr:sp macro="" textlink="">
      <xdr:nvSpPr>
        <xdr:cNvPr id="8" name="Rectangle: Rounded Corners 7">
          <a:extLst>
            <a:ext uri="{FF2B5EF4-FFF2-40B4-BE49-F238E27FC236}">
              <a16:creationId xmlns:a16="http://schemas.microsoft.com/office/drawing/2014/main" id="{4EBD35BB-C20F-4645-8754-45DB6CBD62DB}"/>
            </a:ext>
          </a:extLst>
        </xdr:cNvPr>
        <xdr:cNvSpPr/>
      </xdr:nvSpPr>
      <xdr:spPr>
        <a:xfrm>
          <a:off x="7186666" y="3291840"/>
          <a:ext cx="3354726" cy="2110741"/>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900" b="1">
            <a:solidFill>
              <a:schemeClr val="bg1"/>
            </a:solidFill>
            <a:latin typeface="HP Simplified Hans Light" panose="020B0300000000000000" pitchFamily="34" charset="-122"/>
            <a:ea typeface="HP Simplified Hans Light" panose="020B0300000000000000" pitchFamily="34" charset="-122"/>
            <a:cs typeface="+mn-cs"/>
          </a:endParaRPr>
        </a:p>
      </xdr:txBody>
    </xdr:sp>
    <xdr:clientData/>
  </xdr:twoCellAnchor>
  <xdr:twoCellAnchor>
    <xdr:from>
      <xdr:col>14</xdr:col>
      <xdr:colOff>381000</xdr:colOff>
      <xdr:row>29</xdr:row>
      <xdr:rowOff>22860</xdr:rowOff>
    </xdr:from>
    <xdr:to>
      <xdr:col>17</xdr:col>
      <xdr:colOff>91440</xdr:colOff>
      <xdr:row>30</xdr:row>
      <xdr:rowOff>121920</xdr:rowOff>
    </xdr:to>
    <xdr:sp macro="" textlink="">
      <xdr:nvSpPr>
        <xdr:cNvPr id="35" name="Rectangle: Rounded Corners 34">
          <a:extLst>
            <a:ext uri="{FF2B5EF4-FFF2-40B4-BE49-F238E27FC236}">
              <a16:creationId xmlns:a16="http://schemas.microsoft.com/office/drawing/2014/main" id="{580D1270-E108-7238-AA40-D3BC8AE0F0D3}"/>
            </a:ext>
          </a:extLst>
        </xdr:cNvPr>
        <xdr:cNvSpPr/>
      </xdr:nvSpPr>
      <xdr:spPr>
        <a:xfrm>
          <a:off x="8915400" y="5105400"/>
          <a:ext cx="1539240" cy="27432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25</xdr:row>
      <xdr:rowOff>83820</xdr:rowOff>
    </xdr:from>
    <xdr:to>
      <xdr:col>17</xdr:col>
      <xdr:colOff>77206</xdr:colOff>
      <xdr:row>27</xdr:row>
      <xdr:rowOff>16764</xdr:rowOff>
    </xdr:to>
    <xdr:sp macro="" textlink="">
      <xdr:nvSpPr>
        <xdr:cNvPr id="37" name="Rectangle: Rounded Corners 36">
          <a:extLst>
            <a:ext uri="{FF2B5EF4-FFF2-40B4-BE49-F238E27FC236}">
              <a16:creationId xmlns:a16="http://schemas.microsoft.com/office/drawing/2014/main" id="{7F02574E-1F11-460C-9B26-FAB5FE5DE1E7}"/>
            </a:ext>
          </a:extLst>
        </xdr:cNvPr>
        <xdr:cNvSpPr/>
      </xdr:nvSpPr>
      <xdr:spPr>
        <a:xfrm>
          <a:off x="8892540" y="4465320"/>
          <a:ext cx="1547866" cy="283464"/>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373380</xdr:colOff>
      <xdr:row>27</xdr:row>
      <xdr:rowOff>53340</xdr:rowOff>
    </xdr:from>
    <xdr:to>
      <xdr:col>17</xdr:col>
      <xdr:colOff>77206</xdr:colOff>
      <xdr:row>28</xdr:row>
      <xdr:rowOff>166051</xdr:rowOff>
    </xdr:to>
    <xdr:sp macro="" textlink="">
      <xdr:nvSpPr>
        <xdr:cNvPr id="38" name="Rectangle: Rounded Corners 37">
          <a:extLst>
            <a:ext uri="{FF2B5EF4-FFF2-40B4-BE49-F238E27FC236}">
              <a16:creationId xmlns:a16="http://schemas.microsoft.com/office/drawing/2014/main" id="{862DE2CF-0FA7-4BA2-9D11-BDF60314CF02}"/>
            </a:ext>
          </a:extLst>
        </xdr:cNvPr>
        <xdr:cNvSpPr/>
      </xdr:nvSpPr>
      <xdr:spPr>
        <a:xfrm>
          <a:off x="8907780" y="4785360"/>
          <a:ext cx="1532626" cy="28797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23</xdr:row>
      <xdr:rowOff>106680</xdr:rowOff>
    </xdr:from>
    <xdr:to>
      <xdr:col>17</xdr:col>
      <xdr:colOff>76200</xdr:colOff>
      <xdr:row>25</xdr:row>
      <xdr:rowOff>44196</xdr:rowOff>
    </xdr:to>
    <xdr:sp macro="" textlink="">
      <xdr:nvSpPr>
        <xdr:cNvPr id="39" name="Rectangle: Rounded Corners 38">
          <a:extLst>
            <a:ext uri="{FF2B5EF4-FFF2-40B4-BE49-F238E27FC236}">
              <a16:creationId xmlns:a16="http://schemas.microsoft.com/office/drawing/2014/main" id="{DE0B00F3-B9F9-4CD5-810B-EFCB1AB3D5F2}"/>
            </a:ext>
          </a:extLst>
        </xdr:cNvPr>
        <xdr:cNvSpPr/>
      </xdr:nvSpPr>
      <xdr:spPr>
        <a:xfrm>
          <a:off x="8892540" y="4137660"/>
          <a:ext cx="1546860" cy="288036"/>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342900</xdr:colOff>
      <xdr:row>22</xdr:row>
      <xdr:rowOff>0</xdr:rowOff>
    </xdr:from>
    <xdr:to>
      <xdr:col>17</xdr:col>
      <xdr:colOff>76200</xdr:colOff>
      <xdr:row>23</xdr:row>
      <xdr:rowOff>79248</xdr:rowOff>
    </xdr:to>
    <xdr:sp macro="" textlink="">
      <xdr:nvSpPr>
        <xdr:cNvPr id="40" name="Rectangle: Rounded Corners 39">
          <a:extLst>
            <a:ext uri="{FF2B5EF4-FFF2-40B4-BE49-F238E27FC236}">
              <a16:creationId xmlns:a16="http://schemas.microsoft.com/office/drawing/2014/main" id="{8F7D1E66-71BA-4669-B53F-366F01E8383E}"/>
            </a:ext>
          </a:extLst>
        </xdr:cNvPr>
        <xdr:cNvSpPr/>
      </xdr:nvSpPr>
      <xdr:spPr>
        <a:xfrm>
          <a:off x="8877300" y="3855720"/>
          <a:ext cx="1562100" cy="254508"/>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358140</xdr:colOff>
      <xdr:row>20</xdr:row>
      <xdr:rowOff>30480</xdr:rowOff>
    </xdr:from>
    <xdr:to>
      <xdr:col>17</xdr:col>
      <xdr:colOff>68580</xdr:colOff>
      <xdr:row>21</xdr:row>
      <xdr:rowOff>114300</xdr:rowOff>
    </xdr:to>
    <xdr:sp macro="" textlink="">
      <xdr:nvSpPr>
        <xdr:cNvPr id="41" name="Rectangle: Rounded Corners 40">
          <a:extLst>
            <a:ext uri="{FF2B5EF4-FFF2-40B4-BE49-F238E27FC236}">
              <a16:creationId xmlns:a16="http://schemas.microsoft.com/office/drawing/2014/main" id="{9CB523DA-A9EC-455D-8A76-D895E26E2CC7}"/>
            </a:ext>
          </a:extLst>
        </xdr:cNvPr>
        <xdr:cNvSpPr/>
      </xdr:nvSpPr>
      <xdr:spPr>
        <a:xfrm>
          <a:off x="8892540" y="3535680"/>
          <a:ext cx="1539240" cy="25908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167473</xdr:colOff>
      <xdr:row>22</xdr:row>
      <xdr:rowOff>167639</xdr:rowOff>
    </xdr:from>
    <xdr:to>
      <xdr:col>6</xdr:col>
      <xdr:colOff>66989</xdr:colOff>
      <xdr:row>30</xdr:row>
      <xdr:rowOff>152400</xdr:rowOff>
    </xdr:to>
    <xdr:sp macro="" textlink="">
      <xdr:nvSpPr>
        <xdr:cNvPr id="3" name="Rectangle: Rounded Corners 2">
          <a:extLst>
            <a:ext uri="{FF2B5EF4-FFF2-40B4-BE49-F238E27FC236}">
              <a16:creationId xmlns:a16="http://schemas.microsoft.com/office/drawing/2014/main" id="{CEF7D7CE-767F-7CD2-97E7-22B301DA47AD}"/>
            </a:ext>
          </a:extLst>
        </xdr:cNvPr>
        <xdr:cNvSpPr/>
      </xdr:nvSpPr>
      <xdr:spPr>
        <a:xfrm>
          <a:off x="167473" y="4023359"/>
          <a:ext cx="3557116" cy="1386841"/>
        </a:xfrm>
        <a:prstGeom prst="roundRect">
          <a:avLst>
            <a:gd name="adj" fmla="val 643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159098</xdr:colOff>
      <xdr:row>5</xdr:row>
      <xdr:rowOff>91440</xdr:rowOff>
    </xdr:from>
    <xdr:to>
      <xdr:col>6</xdr:col>
      <xdr:colOff>83819</xdr:colOff>
      <xdr:row>22</xdr:row>
      <xdr:rowOff>114300</xdr:rowOff>
    </xdr:to>
    <xdr:sp macro="" textlink="">
      <xdr:nvSpPr>
        <xdr:cNvPr id="4" name="Rectangle: Rounded Corners 3">
          <a:extLst>
            <a:ext uri="{FF2B5EF4-FFF2-40B4-BE49-F238E27FC236}">
              <a16:creationId xmlns:a16="http://schemas.microsoft.com/office/drawing/2014/main" id="{C16B1384-AABB-3EAF-7505-811C16ADE8F9}"/>
            </a:ext>
          </a:extLst>
        </xdr:cNvPr>
        <xdr:cNvSpPr/>
      </xdr:nvSpPr>
      <xdr:spPr>
        <a:xfrm>
          <a:off x="159098" y="967740"/>
          <a:ext cx="3582321" cy="3002280"/>
        </a:xfrm>
        <a:prstGeom prst="roundRect">
          <a:avLst>
            <a:gd name="adj" fmla="val 643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xdr:from>
      <xdr:col>6</xdr:col>
      <xdr:colOff>200214</xdr:colOff>
      <xdr:row>7</xdr:row>
      <xdr:rowOff>45720</xdr:rowOff>
    </xdr:from>
    <xdr:to>
      <xdr:col>11</xdr:col>
      <xdr:colOff>416503</xdr:colOff>
      <xdr:row>13</xdr:row>
      <xdr:rowOff>0</xdr:rowOff>
    </xdr:to>
    <xdr:sp macro="" textlink="">
      <xdr:nvSpPr>
        <xdr:cNvPr id="9" name="Rectangle: Rounded Corners 8">
          <a:extLst>
            <a:ext uri="{FF2B5EF4-FFF2-40B4-BE49-F238E27FC236}">
              <a16:creationId xmlns:a16="http://schemas.microsoft.com/office/drawing/2014/main" id="{BBC71B95-847C-422C-9398-D9CE7AD9268C}"/>
            </a:ext>
          </a:extLst>
        </xdr:cNvPr>
        <xdr:cNvSpPr/>
      </xdr:nvSpPr>
      <xdr:spPr>
        <a:xfrm>
          <a:off x="3857814" y="1272540"/>
          <a:ext cx="3264289" cy="100584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471938</xdr:colOff>
      <xdr:row>5</xdr:row>
      <xdr:rowOff>134470</xdr:rowOff>
    </xdr:from>
    <xdr:to>
      <xdr:col>17</xdr:col>
      <xdr:colOff>153992</xdr:colOff>
      <xdr:row>18</xdr:row>
      <xdr:rowOff>76200</xdr:rowOff>
    </xdr:to>
    <xdr:sp macro="" textlink="">
      <xdr:nvSpPr>
        <xdr:cNvPr id="10" name="Rectangle: Rounded Corners 9">
          <a:extLst>
            <a:ext uri="{FF2B5EF4-FFF2-40B4-BE49-F238E27FC236}">
              <a16:creationId xmlns:a16="http://schemas.microsoft.com/office/drawing/2014/main" id="{881EC969-0A5C-4B05-9E17-32AB9199CE04}"/>
            </a:ext>
          </a:extLst>
        </xdr:cNvPr>
        <xdr:cNvSpPr/>
      </xdr:nvSpPr>
      <xdr:spPr>
        <a:xfrm>
          <a:off x="7177538" y="1030941"/>
          <a:ext cx="3339654" cy="2272553"/>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207916</xdr:colOff>
      <xdr:row>13</xdr:row>
      <xdr:rowOff>45720</xdr:rowOff>
    </xdr:from>
    <xdr:to>
      <xdr:col>8</xdr:col>
      <xdr:colOff>556260</xdr:colOff>
      <xdr:row>18</xdr:row>
      <xdr:rowOff>73100</xdr:rowOff>
    </xdr:to>
    <xdr:sp macro="" textlink="">
      <xdr:nvSpPr>
        <xdr:cNvPr id="11" name="Rectangle: Rounded Corners 10">
          <a:extLst>
            <a:ext uri="{FF2B5EF4-FFF2-40B4-BE49-F238E27FC236}">
              <a16:creationId xmlns:a16="http://schemas.microsoft.com/office/drawing/2014/main" id="{B45761D8-356F-40D8-B34F-9073E79E29E0}"/>
            </a:ext>
          </a:extLst>
        </xdr:cNvPr>
        <xdr:cNvSpPr/>
      </xdr:nvSpPr>
      <xdr:spPr>
        <a:xfrm>
          <a:off x="3865516" y="2324100"/>
          <a:ext cx="1567544" cy="90368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15240</xdr:colOff>
      <xdr:row>13</xdr:row>
      <xdr:rowOff>45720</xdr:rowOff>
    </xdr:from>
    <xdr:to>
      <xdr:col>11</xdr:col>
      <xdr:colOff>419100</xdr:colOff>
      <xdr:row>18</xdr:row>
      <xdr:rowOff>68580</xdr:rowOff>
    </xdr:to>
    <xdr:sp macro="" textlink="">
      <xdr:nvSpPr>
        <xdr:cNvPr id="12" name="Rectangle: Rounded Corners 11">
          <a:extLst>
            <a:ext uri="{FF2B5EF4-FFF2-40B4-BE49-F238E27FC236}">
              <a16:creationId xmlns:a16="http://schemas.microsoft.com/office/drawing/2014/main" id="{1C374CA5-1F11-4932-8CD8-8426C2139984}"/>
            </a:ext>
          </a:extLst>
        </xdr:cNvPr>
        <xdr:cNvSpPr/>
      </xdr:nvSpPr>
      <xdr:spPr>
        <a:xfrm>
          <a:off x="5501640" y="2324100"/>
          <a:ext cx="1623060" cy="899160"/>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345581</xdr:colOff>
      <xdr:row>25</xdr:row>
      <xdr:rowOff>45720</xdr:rowOff>
    </xdr:from>
    <xdr:to>
      <xdr:col>20</xdr:col>
      <xdr:colOff>175260</xdr:colOff>
      <xdr:row>30</xdr:row>
      <xdr:rowOff>129541</xdr:rowOff>
    </xdr:to>
    <xdr:sp macro="" textlink="">
      <xdr:nvSpPr>
        <xdr:cNvPr id="13" name="Rectangle: Rounded Corners 12">
          <a:extLst>
            <a:ext uri="{FF2B5EF4-FFF2-40B4-BE49-F238E27FC236}">
              <a16:creationId xmlns:a16="http://schemas.microsoft.com/office/drawing/2014/main" id="{CC9F44BA-D181-47A6-A483-0B42B9AF8CE3}"/>
            </a:ext>
          </a:extLst>
        </xdr:cNvPr>
        <xdr:cNvSpPr/>
      </xdr:nvSpPr>
      <xdr:spPr>
        <a:xfrm>
          <a:off x="10708781" y="4427220"/>
          <a:ext cx="1658479" cy="960121"/>
        </a:xfrm>
        <a:prstGeom prst="roundRect">
          <a:avLst>
            <a:gd name="adj" fmla="val 1717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Employees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With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Contracts</a:t>
          </a:r>
        </a:p>
        <a:p>
          <a:pPr marL="0" indent="0" algn="l"/>
          <a:endParaRPr lang="en-IN" sz="1100">
            <a:solidFill>
              <a:schemeClr val="lt1"/>
            </a:solidFill>
            <a:latin typeface="+mn-lt"/>
            <a:ea typeface="+mn-ea"/>
            <a:cs typeface="+mn-cs"/>
          </a:endParaRPr>
        </a:p>
      </xdr:txBody>
    </xdr:sp>
    <xdr:clientData/>
  </xdr:twoCellAnchor>
  <xdr:twoCellAnchor>
    <xdr:from>
      <xdr:col>20</xdr:col>
      <xdr:colOff>259080</xdr:colOff>
      <xdr:row>25</xdr:row>
      <xdr:rowOff>45720</xdr:rowOff>
    </xdr:from>
    <xdr:to>
      <xdr:col>23</xdr:col>
      <xdr:colOff>68581</xdr:colOff>
      <xdr:row>30</xdr:row>
      <xdr:rowOff>114300</xdr:rowOff>
    </xdr:to>
    <xdr:sp macro="" textlink="">
      <xdr:nvSpPr>
        <xdr:cNvPr id="14" name="Rectangle: Rounded Corners 13">
          <a:extLst>
            <a:ext uri="{FF2B5EF4-FFF2-40B4-BE49-F238E27FC236}">
              <a16:creationId xmlns:a16="http://schemas.microsoft.com/office/drawing/2014/main" id="{1451ADAA-5AA4-4169-A9D8-E4CF47AB87F2}"/>
            </a:ext>
          </a:extLst>
        </xdr:cNvPr>
        <xdr:cNvSpPr/>
      </xdr:nvSpPr>
      <xdr:spPr>
        <a:xfrm>
          <a:off x="12451080" y="4427220"/>
          <a:ext cx="1638301" cy="944880"/>
        </a:xfrm>
        <a:prstGeom prst="roundRect">
          <a:avLst>
            <a:gd name="adj" fmla="val 1687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Full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Time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Employees</a:t>
          </a:r>
        </a:p>
      </xdr:txBody>
    </xdr:sp>
    <xdr:clientData/>
  </xdr:twoCellAnchor>
  <xdr:twoCellAnchor>
    <xdr:from>
      <xdr:col>20</xdr:col>
      <xdr:colOff>228600</xdr:colOff>
      <xdr:row>19</xdr:row>
      <xdr:rowOff>129540</xdr:rowOff>
    </xdr:from>
    <xdr:to>
      <xdr:col>23</xdr:col>
      <xdr:colOff>68580</xdr:colOff>
      <xdr:row>24</xdr:row>
      <xdr:rowOff>144780</xdr:rowOff>
    </xdr:to>
    <xdr:sp macro="" textlink="">
      <xdr:nvSpPr>
        <xdr:cNvPr id="15" name="Rectangle: Rounded Corners 14">
          <a:extLst>
            <a:ext uri="{FF2B5EF4-FFF2-40B4-BE49-F238E27FC236}">
              <a16:creationId xmlns:a16="http://schemas.microsoft.com/office/drawing/2014/main" id="{6C641DE2-4D2D-4A05-9FF9-FA8BFA958259}"/>
            </a:ext>
          </a:extLst>
        </xdr:cNvPr>
        <xdr:cNvSpPr/>
      </xdr:nvSpPr>
      <xdr:spPr>
        <a:xfrm>
          <a:off x="12420600" y="3459480"/>
          <a:ext cx="1668780" cy="891540"/>
        </a:xfrm>
        <a:prstGeom prst="roundRect">
          <a:avLst>
            <a:gd name="adj" fmla="val 2098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lt1"/>
              </a:solidFill>
              <a:latin typeface="Times New Roman" panose="02020603050405020304" pitchFamily="18" charset="0"/>
              <a:ea typeface="+mn-ea"/>
              <a:cs typeface="Times New Roman" panose="02020603050405020304" pitchFamily="18" charset="0"/>
            </a:rPr>
            <a:t>Part </a:t>
          </a:r>
        </a:p>
        <a:p>
          <a:pPr marL="0" indent="0" algn="l"/>
          <a:r>
            <a:rPr lang="en-IN" sz="1200">
              <a:solidFill>
                <a:schemeClr val="lt1"/>
              </a:solidFill>
              <a:latin typeface="Times New Roman" panose="02020603050405020304" pitchFamily="18" charset="0"/>
              <a:ea typeface="+mn-ea"/>
              <a:cs typeface="Times New Roman" panose="02020603050405020304" pitchFamily="18" charset="0"/>
            </a:rPr>
            <a:t>Time</a:t>
          </a:r>
          <a:r>
            <a:rPr lang="en-IN" sz="1200" baseline="0">
              <a:solidFill>
                <a:schemeClr val="lt1"/>
              </a:solidFill>
              <a:latin typeface="Times New Roman" panose="02020603050405020304" pitchFamily="18" charset="0"/>
              <a:ea typeface="+mn-ea"/>
              <a:cs typeface="Times New Roman" panose="02020603050405020304" pitchFamily="18" charset="0"/>
            </a:rPr>
            <a:t> </a:t>
          </a:r>
        </a:p>
        <a:p>
          <a:pPr marL="0" indent="0" algn="l"/>
          <a:r>
            <a:rPr lang="en-IN" sz="1200" baseline="0">
              <a:solidFill>
                <a:schemeClr val="lt1"/>
              </a:solidFill>
              <a:latin typeface="Times New Roman" panose="02020603050405020304" pitchFamily="18" charset="0"/>
              <a:ea typeface="+mn-ea"/>
              <a:cs typeface="Times New Roman" panose="02020603050405020304" pitchFamily="18" charset="0"/>
            </a:rPr>
            <a:t>Employees</a:t>
          </a:r>
          <a:endParaRPr lang="en-IN" sz="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309826</xdr:colOff>
      <xdr:row>9</xdr:row>
      <xdr:rowOff>142351</xdr:rowOff>
    </xdr:from>
    <xdr:to>
      <xdr:col>23</xdr:col>
      <xdr:colOff>83820</xdr:colOff>
      <xdr:row>17</xdr:row>
      <xdr:rowOff>142350</xdr:rowOff>
    </xdr:to>
    <xdr:sp macro="" textlink="">
      <xdr:nvSpPr>
        <xdr:cNvPr id="16" name="Rectangle: Rounded Corners 15">
          <a:extLst>
            <a:ext uri="{FF2B5EF4-FFF2-40B4-BE49-F238E27FC236}">
              <a16:creationId xmlns:a16="http://schemas.microsoft.com/office/drawing/2014/main" id="{370561D4-D63A-4793-8279-C4434D261697}"/>
            </a:ext>
          </a:extLst>
        </xdr:cNvPr>
        <xdr:cNvSpPr/>
      </xdr:nvSpPr>
      <xdr:spPr>
        <a:xfrm>
          <a:off x="10673026" y="1719691"/>
          <a:ext cx="3431594" cy="1402079"/>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301452</xdr:colOff>
      <xdr:row>1</xdr:row>
      <xdr:rowOff>104336</xdr:rowOff>
    </xdr:from>
    <xdr:to>
      <xdr:col>23</xdr:col>
      <xdr:colOff>76200</xdr:colOff>
      <xdr:row>9</xdr:row>
      <xdr:rowOff>79215</xdr:rowOff>
    </xdr:to>
    <xdr:sp macro="" textlink="">
      <xdr:nvSpPr>
        <xdr:cNvPr id="17" name="Rectangle: Rounded Corners 16">
          <a:extLst>
            <a:ext uri="{FF2B5EF4-FFF2-40B4-BE49-F238E27FC236}">
              <a16:creationId xmlns:a16="http://schemas.microsoft.com/office/drawing/2014/main" id="{6B05A2DF-7762-4F94-873E-1ACB7D1764D1}"/>
            </a:ext>
          </a:extLst>
        </xdr:cNvPr>
        <xdr:cNvSpPr/>
      </xdr:nvSpPr>
      <xdr:spPr>
        <a:xfrm>
          <a:off x="10664652" y="279596"/>
          <a:ext cx="3432348" cy="1376959"/>
        </a:xfrm>
        <a:prstGeom prst="roundRect">
          <a:avLst>
            <a:gd name="adj" fmla="val 51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21</xdr:col>
      <xdr:colOff>533400</xdr:colOff>
      <xdr:row>21</xdr:row>
      <xdr:rowOff>15240</xdr:rowOff>
    </xdr:from>
    <xdr:ext cx="1203960" cy="754380"/>
    <xdr:sp macro="" textlink="Pivot_tables!C12">
      <xdr:nvSpPr>
        <xdr:cNvPr id="19" name="TextBox 18">
          <a:extLst>
            <a:ext uri="{FF2B5EF4-FFF2-40B4-BE49-F238E27FC236}">
              <a16:creationId xmlns:a16="http://schemas.microsoft.com/office/drawing/2014/main" id="{B67F5238-525C-9C65-708D-9F79D5A45AE2}"/>
            </a:ext>
          </a:extLst>
        </xdr:cNvPr>
        <xdr:cNvSpPr txBox="1"/>
      </xdr:nvSpPr>
      <xdr:spPr>
        <a:xfrm>
          <a:off x="13335000" y="3695700"/>
          <a:ext cx="1203960" cy="754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23399E5-208C-483F-A830-E9C9DAE748D6}" type="TxLink">
            <a:rPr lang="en-US" sz="4000" b="1" i="0" u="none" strike="noStrike">
              <a:solidFill>
                <a:schemeClr val="bg1"/>
              </a:solidFill>
              <a:latin typeface="Times New Roman" panose="02020603050405020304" pitchFamily="18" charset="0"/>
              <a:cs typeface="Times New Roman" panose="02020603050405020304" pitchFamily="18" charset="0"/>
            </a:rPr>
            <a:pPr/>
            <a:t>13</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21</xdr:col>
      <xdr:colOff>571500</xdr:colOff>
      <xdr:row>27</xdr:row>
      <xdr:rowOff>0</xdr:rowOff>
    </xdr:from>
    <xdr:ext cx="1203960" cy="800100"/>
    <xdr:sp macro="" textlink="Pivot_tables!C11">
      <xdr:nvSpPr>
        <xdr:cNvPr id="21" name="TextBox 20">
          <a:extLst>
            <a:ext uri="{FF2B5EF4-FFF2-40B4-BE49-F238E27FC236}">
              <a16:creationId xmlns:a16="http://schemas.microsoft.com/office/drawing/2014/main" id="{161E9152-FA9E-4279-B7AB-AFB059C97B8D}"/>
            </a:ext>
          </a:extLst>
        </xdr:cNvPr>
        <xdr:cNvSpPr txBox="1"/>
      </xdr:nvSpPr>
      <xdr:spPr>
        <a:xfrm>
          <a:off x="13373100" y="4732020"/>
          <a:ext cx="1203960" cy="800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65BF64D-B234-46EA-89C7-8DDDEB6E4C42}" type="TxLink">
            <a:rPr lang="en-US" sz="4000" b="1" i="0" u="none" strike="noStrike">
              <a:solidFill>
                <a:schemeClr val="bg1"/>
              </a:solidFill>
              <a:latin typeface="Times New Roman"/>
              <a:cs typeface="Times New Roman"/>
            </a:rPr>
            <a:pPr/>
            <a:t>20</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45720</xdr:colOff>
      <xdr:row>27</xdr:row>
      <xdr:rowOff>38100</xdr:rowOff>
    </xdr:from>
    <xdr:ext cx="1203960" cy="754380"/>
    <xdr:sp macro="" textlink="Pivot_tables!C10">
      <xdr:nvSpPr>
        <xdr:cNvPr id="22" name="TextBox 21">
          <a:extLst>
            <a:ext uri="{FF2B5EF4-FFF2-40B4-BE49-F238E27FC236}">
              <a16:creationId xmlns:a16="http://schemas.microsoft.com/office/drawing/2014/main" id="{0FAFD438-B908-47D1-847B-BE207847DA95}"/>
            </a:ext>
          </a:extLst>
        </xdr:cNvPr>
        <xdr:cNvSpPr txBox="1"/>
      </xdr:nvSpPr>
      <xdr:spPr>
        <a:xfrm>
          <a:off x="11628120" y="4770120"/>
          <a:ext cx="1203960" cy="754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D987A3A-716B-4E7D-8688-3266A3BCFF60}" type="TxLink">
            <a:rPr lang="en-US" sz="4000" b="1" i="0" u="none" strike="noStrike">
              <a:solidFill>
                <a:schemeClr val="bg1"/>
              </a:solidFill>
              <a:latin typeface="Times New Roman" panose="02020603050405020304" pitchFamily="18" charset="0"/>
              <a:cs typeface="Times New Roman" panose="02020603050405020304" pitchFamily="18" charset="0"/>
            </a:rPr>
            <a:pPr/>
            <a:t>17</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15240</xdr:colOff>
      <xdr:row>20</xdr:row>
      <xdr:rowOff>45720</xdr:rowOff>
    </xdr:from>
    <xdr:ext cx="1386840" cy="281940"/>
    <xdr:sp macro="" textlink="">
      <xdr:nvSpPr>
        <xdr:cNvPr id="23" name="TextBox 22">
          <a:extLst>
            <a:ext uri="{FF2B5EF4-FFF2-40B4-BE49-F238E27FC236}">
              <a16:creationId xmlns:a16="http://schemas.microsoft.com/office/drawing/2014/main" id="{F0664D96-7903-4432-888F-83046162FE7C}"/>
            </a:ext>
          </a:extLst>
        </xdr:cNvPr>
        <xdr:cNvSpPr txBox="1"/>
      </xdr:nvSpPr>
      <xdr:spPr>
        <a:xfrm>
          <a:off x="7330440" y="3550920"/>
          <a:ext cx="13868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Total Salaries</a:t>
          </a:r>
        </a:p>
      </xdr:txBody>
    </xdr:sp>
    <xdr:clientData/>
  </xdr:oneCellAnchor>
  <xdr:oneCellAnchor>
    <xdr:from>
      <xdr:col>12</xdr:col>
      <xdr:colOff>45720</xdr:colOff>
      <xdr:row>21</xdr:row>
      <xdr:rowOff>144780</xdr:rowOff>
    </xdr:from>
    <xdr:ext cx="883920" cy="274320"/>
    <xdr:sp macro="" textlink="">
      <xdr:nvSpPr>
        <xdr:cNvPr id="24" name="TextBox 23">
          <a:extLst>
            <a:ext uri="{FF2B5EF4-FFF2-40B4-BE49-F238E27FC236}">
              <a16:creationId xmlns:a16="http://schemas.microsoft.com/office/drawing/2014/main" id="{7FB9A7B8-5CA3-4942-8D5C-0082BF3A9EB0}"/>
            </a:ext>
          </a:extLst>
        </xdr:cNvPr>
        <xdr:cNvSpPr txBox="1"/>
      </xdr:nvSpPr>
      <xdr:spPr>
        <a:xfrm>
          <a:off x="7360920" y="3771900"/>
          <a:ext cx="88392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Manager</a:t>
          </a:r>
        </a:p>
      </xdr:txBody>
    </xdr:sp>
    <xdr:clientData/>
  </xdr:oneCellAnchor>
  <xdr:oneCellAnchor>
    <xdr:from>
      <xdr:col>12</xdr:col>
      <xdr:colOff>38100</xdr:colOff>
      <xdr:row>23</xdr:row>
      <xdr:rowOff>91440</xdr:rowOff>
    </xdr:from>
    <xdr:ext cx="1310640" cy="281940"/>
    <xdr:sp macro="" textlink="">
      <xdr:nvSpPr>
        <xdr:cNvPr id="25" name="TextBox 24">
          <a:extLst>
            <a:ext uri="{FF2B5EF4-FFF2-40B4-BE49-F238E27FC236}">
              <a16:creationId xmlns:a16="http://schemas.microsoft.com/office/drawing/2014/main" id="{E33E2406-B0CF-4807-A6EF-51FAC8E28045}"/>
            </a:ext>
          </a:extLst>
        </xdr:cNvPr>
        <xdr:cNvSpPr txBox="1"/>
      </xdr:nvSpPr>
      <xdr:spPr>
        <a:xfrm>
          <a:off x="7353300" y="406400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HR</a:t>
          </a:r>
          <a:r>
            <a:rPr lang="en-IN" sz="1400" b="0" baseline="0">
              <a:solidFill>
                <a:schemeClr val="bg1"/>
              </a:solidFill>
              <a:latin typeface="Times New Roman" panose="02020603050405020304" pitchFamily="18" charset="0"/>
              <a:cs typeface="Times New Roman" panose="02020603050405020304" pitchFamily="18" charset="0"/>
            </a:rPr>
            <a:t> Specialist</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30480</xdr:colOff>
      <xdr:row>25</xdr:row>
      <xdr:rowOff>45720</xdr:rowOff>
    </xdr:from>
    <xdr:ext cx="1104900" cy="281940"/>
    <xdr:sp macro="" textlink="">
      <xdr:nvSpPr>
        <xdr:cNvPr id="26" name="TextBox 25">
          <a:extLst>
            <a:ext uri="{FF2B5EF4-FFF2-40B4-BE49-F238E27FC236}">
              <a16:creationId xmlns:a16="http://schemas.microsoft.com/office/drawing/2014/main" id="{C3C842E5-C691-400D-8482-98EB42C9F2FB}"/>
            </a:ext>
          </a:extLst>
        </xdr:cNvPr>
        <xdr:cNvSpPr txBox="1"/>
      </xdr:nvSpPr>
      <xdr:spPr>
        <a:xfrm>
          <a:off x="7345680" y="436372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Developer</a:t>
          </a:r>
        </a:p>
      </xdr:txBody>
    </xdr:sp>
    <xdr:clientData/>
  </xdr:oneCellAnchor>
  <xdr:oneCellAnchor>
    <xdr:from>
      <xdr:col>12</xdr:col>
      <xdr:colOff>30480</xdr:colOff>
      <xdr:row>26</xdr:row>
      <xdr:rowOff>152400</xdr:rowOff>
    </xdr:from>
    <xdr:ext cx="975360" cy="251460"/>
    <xdr:sp macro="" textlink="">
      <xdr:nvSpPr>
        <xdr:cNvPr id="27" name="TextBox 26">
          <a:extLst>
            <a:ext uri="{FF2B5EF4-FFF2-40B4-BE49-F238E27FC236}">
              <a16:creationId xmlns:a16="http://schemas.microsoft.com/office/drawing/2014/main" id="{403FBFB5-7CE0-4D4E-8058-9D9D13FA78B7}"/>
            </a:ext>
          </a:extLst>
        </xdr:cNvPr>
        <xdr:cNvSpPr txBox="1"/>
      </xdr:nvSpPr>
      <xdr:spPr>
        <a:xfrm>
          <a:off x="7345680" y="4709160"/>
          <a:ext cx="9753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Analyst</a:t>
          </a:r>
        </a:p>
      </xdr:txBody>
    </xdr:sp>
    <xdr:clientData/>
  </xdr:oneCellAnchor>
  <xdr:oneCellAnchor>
    <xdr:from>
      <xdr:col>12</xdr:col>
      <xdr:colOff>22860</xdr:colOff>
      <xdr:row>28</xdr:row>
      <xdr:rowOff>114300</xdr:rowOff>
    </xdr:from>
    <xdr:ext cx="883920" cy="266700"/>
    <xdr:sp macro="" textlink="">
      <xdr:nvSpPr>
        <xdr:cNvPr id="28" name="TextBox 27">
          <a:extLst>
            <a:ext uri="{FF2B5EF4-FFF2-40B4-BE49-F238E27FC236}">
              <a16:creationId xmlns:a16="http://schemas.microsoft.com/office/drawing/2014/main" id="{81139D09-8A21-445E-B2B9-49E523870A96}"/>
            </a:ext>
          </a:extLst>
        </xdr:cNvPr>
        <xdr:cNvSpPr txBox="1"/>
      </xdr:nvSpPr>
      <xdr:spPr>
        <a:xfrm>
          <a:off x="7338060" y="5021580"/>
          <a:ext cx="88392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Designer</a:t>
          </a:r>
        </a:p>
      </xdr:txBody>
    </xdr:sp>
    <xdr:clientData/>
  </xdr:oneCellAnchor>
  <xdr:oneCellAnchor>
    <xdr:from>
      <xdr:col>15</xdr:col>
      <xdr:colOff>121920</xdr:colOff>
      <xdr:row>20</xdr:row>
      <xdr:rowOff>15240</xdr:rowOff>
    </xdr:from>
    <xdr:ext cx="1130692" cy="304800"/>
    <xdr:sp macro="" textlink="Pivot_tables!F17">
      <xdr:nvSpPr>
        <xdr:cNvPr id="29" name="TextBox 28">
          <a:extLst>
            <a:ext uri="{FF2B5EF4-FFF2-40B4-BE49-F238E27FC236}">
              <a16:creationId xmlns:a16="http://schemas.microsoft.com/office/drawing/2014/main" id="{BB03F786-E9CA-4859-93CC-A19E42115AE3}"/>
            </a:ext>
          </a:extLst>
        </xdr:cNvPr>
        <xdr:cNvSpPr txBox="1"/>
      </xdr:nvSpPr>
      <xdr:spPr>
        <a:xfrm>
          <a:off x="9265920" y="3520440"/>
          <a:ext cx="1130692"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7BDE6C-5D5A-4F89-B854-F1A62C83B7E8}" type="TxLink">
            <a:rPr lang="en-US" sz="1400" b="1" i="0" u="none" strike="noStrike">
              <a:solidFill>
                <a:schemeClr val="bg1"/>
              </a:solidFill>
              <a:latin typeface="Aptos Narrow"/>
              <a:cs typeface="Times New Roman" panose="02020603050405020304" pitchFamily="18" charset="0"/>
            </a:rPr>
            <a:pPr/>
            <a:t>3104913</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144780</xdr:colOff>
      <xdr:row>21</xdr:row>
      <xdr:rowOff>137160</xdr:rowOff>
    </xdr:from>
    <xdr:ext cx="1130692" cy="274320"/>
    <xdr:sp macro="" textlink="Pivot_tables!F16">
      <xdr:nvSpPr>
        <xdr:cNvPr id="30" name="TextBox 29">
          <a:extLst>
            <a:ext uri="{FF2B5EF4-FFF2-40B4-BE49-F238E27FC236}">
              <a16:creationId xmlns:a16="http://schemas.microsoft.com/office/drawing/2014/main" id="{33E5DCCA-C0B2-4672-98C9-5AD1CB9866CA}"/>
            </a:ext>
          </a:extLst>
        </xdr:cNvPr>
        <xdr:cNvSpPr txBox="1"/>
      </xdr:nvSpPr>
      <xdr:spPr>
        <a:xfrm>
          <a:off x="9288780" y="3817620"/>
          <a:ext cx="113069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02F928D-F50E-4692-95DC-DECCC63EBEB8}" type="TxLink">
            <a:rPr lang="en-US" sz="1400" b="1" i="0" u="none" strike="noStrike">
              <a:solidFill>
                <a:schemeClr val="bg1"/>
              </a:solidFill>
              <a:latin typeface="Times New Roman"/>
              <a:cs typeface="Times New Roman"/>
            </a:rPr>
            <a:pPr/>
            <a:t>731170</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167640</xdr:colOff>
      <xdr:row>23</xdr:row>
      <xdr:rowOff>99060</xdr:rowOff>
    </xdr:from>
    <xdr:ext cx="1123072" cy="251460"/>
    <xdr:sp macro="" textlink="Pivot_tables!F15">
      <xdr:nvSpPr>
        <xdr:cNvPr id="31" name="TextBox 30">
          <a:extLst>
            <a:ext uri="{FF2B5EF4-FFF2-40B4-BE49-F238E27FC236}">
              <a16:creationId xmlns:a16="http://schemas.microsoft.com/office/drawing/2014/main" id="{EF190C8D-3455-4545-BEC5-DBCEE2FFE7E2}"/>
            </a:ext>
          </a:extLst>
        </xdr:cNvPr>
        <xdr:cNvSpPr txBox="1"/>
      </xdr:nvSpPr>
      <xdr:spPr>
        <a:xfrm>
          <a:off x="9311640" y="4130040"/>
          <a:ext cx="112307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7980035-0C77-456C-B0DF-1C448B15E149}" type="TxLink">
            <a:rPr lang="en-US" sz="1400" b="1" i="0" u="none" strike="noStrike">
              <a:solidFill>
                <a:schemeClr val="bg1"/>
              </a:solidFill>
              <a:latin typeface="Times New Roman"/>
              <a:cs typeface="Times New Roman"/>
            </a:rPr>
            <a:pPr/>
            <a:t>959266</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167640</xdr:colOff>
      <xdr:row>25</xdr:row>
      <xdr:rowOff>45720</xdr:rowOff>
    </xdr:from>
    <xdr:ext cx="1138312" cy="365760"/>
    <xdr:sp macro="" textlink="Pivot_tables!F14">
      <xdr:nvSpPr>
        <xdr:cNvPr id="32" name="TextBox 31">
          <a:extLst>
            <a:ext uri="{FF2B5EF4-FFF2-40B4-BE49-F238E27FC236}">
              <a16:creationId xmlns:a16="http://schemas.microsoft.com/office/drawing/2014/main" id="{B123A185-161E-4665-950F-76D7CFA30D54}"/>
            </a:ext>
          </a:extLst>
        </xdr:cNvPr>
        <xdr:cNvSpPr txBox="1"/>
      </xdr:nvSpPr>
      <xdr:spPr>
        <a:xfrm>
          <a:off x="9311640" y="4427220"/>
          <a:ext cx="1138312"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F3ED8E8-655D-4C60-B705-178AF9A4075F}" type="TxLink">
            <a:rPr lang="en-US" sz="1400" b="1" i="0" u="none" strike="noStrike">
              <a:solidFill>
                <a:schemeClr val="bg1"/>
              </a:solidFill>
              <a:latin typeface="Times New Roman"/>
              <a:cs typeface="Times New Roman"/>
            </a:rPr>
            <a:pPr/>
            <a:t>633594</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198120</xdr:colOff>
      <xdr:row>27</xdr:row>
      <xdr:rowOff>7620</xdr:rowOff>
    </xdr:from>
    <xdr:ext cx="1130692" cy="251460"/>
    <xdr:sp macro="" textlink="Pivot_tables!F12">
      <xdr:nvSpPr>
        <xdr:cNvPr id="33" name="TextBox 32">
          <a:extLst>
            <a:ext uri="{FF2B5EF4-FFF2-40B4-BE49-F238E27FC236}">
              <a16:creationId xmlns:a16="http://schemas.microsoft.com/office/drawing/2014/main" id="{438D9DC2-E430-45D3-B317-49C507A13EE6}"/>
            </a:ext>
          </a:extLst>
        </xdr:cNvPr>
        <xdr:cNvSpPr txBox="1"/>
      </xdr:nvSpPr>
      <xdr:spPr>
        <a:xfrm>
          <a:off x="9342120" y="4739640"/>
          <a:ext cx="113069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9AC3098-3042-4B14-A8FE-5F851C82B06D}" type="TxLink">
            <a:rPr lang="en-US" sz="1400" b="1" i="0" u="none" strike="noStrike">
              <a:solidFill>
                <a:schemeClr val="bg1"/>
              </a:solidFill>
              <a:latin typeface="Times New Roman"/>
              <a:cs typeface="Times New Roman"/>
            </a:rPr>
            <a:pPr/>
            <a:t>167041</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15</xdr:col>
      <xdr:colOff>198120</xdr:colOff>
      <xdr:row>28</xdr:row>
      <xdr:rowOff>167640</xdr:rowOff>
    </xdr:from>
    <xdr:ext cx="1123072" cy="251460"/>
    <xdr:sp macro="" textlink="Pivot_tables!F13">
      <xdr:nvSpPr>
        <xdr:cNvPr id="34" name="TextBox 33">
          <a:extLst>
            <a:ext uri="{FF2B5EF4-FFF2-40B4-BE49-F238E27FC236}">
              <a16:creationId xmlns:a16="http://schemas.microsoft.com/office/drawing/2014/main" id="{25C6C851-42FB-427B-B3B2-3CF659105C5F}"/>
            </a:ext>
          </a:extLst>
        </xdr:cNvPr>
        <xdr:cNvSpPr txBox="1"/>
      </xdr:nvSpPr>
      <xdr:spPr>
        <a:xfrm>
          <a:off x="9342120" y="5074920"/>
          <a:ext cx="1123072"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7C6D149-9CCA-420D-B725-2F7EDDD47A4C}" type="TxLink">
            <a:rPr lang="en-US" sz="1400" b="1" i="0" u="none" strike="noStrike">
              <a:solidFill>
                <a:schemeClr val="bg1"/>
              </a:solidFill>
              <a:latin typeface="Times New Roman"/>
              <a:cs typeface="Times New Roman"/>
            </a:rPr>
            <a:pPr/>
            <a:t>613842</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18</xdr:col>
      <xdr:colOff>137160</xdr:colOff>
      <xdr:row>18</xdr:row>
      <xdr:rowOff>22860</xdr:rowOff>
    </xdr:from>
    <xdr:to>
      <xdr:col>22</xdr:col>
      <xdr:colOff>342900</xdr:colOff>
      <xdr:row>19</xdr:row>
      <xdr:rowOff>99060</xdr:rowOff>
    </xdr:to>
    <xdr:sp macro="" textlink="">
      <xdr:nvSpPr>
        <xdr:cNvPr id="43" name="TextBox 42">
          <a:extLst>
            <a:ext uri="{FF2B5EF4-FFF2-40B4-BE49-F238E27FC236}">
              <a16:creationId xmlns:a16="http://schemas.microsoft.com/office/drawing/2014/main" id="{BF2C0BF6-99F4-06C5-B5E7-0AED6898E2F3}"/>
            </a:ext>
          </a:extLst>
        </xdr:cNvPr>
        <xdr:cNvSpPr txBox="1"/>
      </xdr:nvSpPr>
      <xdr:spPr>
        <a:xfrm>
          <a:off x="11109960" y="3177540"/>
          <a:ext cx="2644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Employement</a:t>
          </a:r>
          <a:r>
            <a:rPr lang="en-IN" sz="1100" b="1" baseline="0">
              <a:solidFill>
                <a:srgbClr val="E5B244"/>
              </a:solidFill>
              <a:latin typeface="Arial" panose="020B0604020202020204" pitchFamily="34" charset="0"/>
              <a:cs typeface="Arial" panose="020B0604020202020204" pitchFamily="34" charset="0"/>
            </a:rPr>
            <a:t> status Breakdown</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17</xdr:col>
      <xdr:colOff>373380</xdr:colOff>
      <xdr:row>18</xdr:row>
      <xdr:rowOff>68580</xdr:rowOff>
    </xdr:from>
    <xdr:to>
      <xdr:col>20</xdr:col>
      <xdr:colOff>426720</xdr:colOff>
      <xdr:row>24</xdr:row>
      <xdr:rowOff>129540</xdr:rowOff>
    </xdr:to>
    <xdr:graphicFrame macro="">
      <xdr:nvGraphicFramePr>
        <xdr:cNvPr id="44" name="Chart 43">
          <a:extLst>
            <a:ext uri="{FF2B5EF4-FFF2-40B4-BE49-F238E27FC236}">
              <a16:creationId xmlns:a16="http://schemas.microsoft.com/office/drawing/2014/main" id="{CEDC7788-5CF9-484C-BB96-4BD6E209A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411480</xdr:colOff>
      <xdr:row>20</xdr:row>
      <xdr:rowOff>45720</xdr:rowOff>
    </xdr:from>
    <xdr:to>
      <xdr:col>22</xdr:col>
      <xdr:colOff>556260</xdr:colOff>
      <xdr:row>21</xdr:row>
      <xdr:rowOff>15240</xdr:rowOff>
    </xdr:to>
    <xdr:sp macro="" textlink="">
      <xdr:nvSpPr>
        <xdr:cNvPr id="46" name="Flowchart: Connector 45">
          <a:extLst>
            <a:ext uri="{FF2B5EF4-FFF2-40B4-BE49-F238E27FC236}">
              <a16:creationId xmlns:a16="http://schemas.microsoft.com/office/drawing/2014/main" id="{FCB9B683-A845-BD75-9749-E9093E035915}"/>
            </a:ext>
          </a:extLst>
        </xdr:cNvPr>
        <xdr:cNvSpPr/>
      </xdr:nvSpPr>
      <xdr:spPr>
        <a:xfrm>
          <a:off x="13822680" y="3550920"/>
          <a:ext cx="144780" cy="14478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22</xdr:col>
      <xdr:colOff>419100</xdr:colOff>
      <xdr:row>25</xdr:row>
      <xdr:rowOff>129540</xdr:rowOff>
    </xdr:from>
    <xdr:to>
      <xdr:col>22</xdr:col>
      <xdr:colOff>563880</xdr:colOff>
      <xdr:row>26</xdr:row>
      <xdr:rowOff>99060</xdr:rowOff>
    </xdr:to>
    <xdr:sp macro="" textlink="">
      <xdr:nvSpPr>
        <xdr:cNvPr id="47" name="Flowchart: Connector 46">
          <a:extLst>
            <a:ext uri="{FF2B5EF4-FFF2-40B4-BE49-F238E27FC236}">
              <a16:creationId xmlns:a16="http://schemas.microsoft.com/office/drawing/2014/main" id="{5C64DA5A-B3B0-4727-BB61-3D4972225837}"/>
            </a:ext>
          </a:extLst>
        </xdr:cNvPr>
        <xdr:cNvSpPr/>
      </xdr:nvSpPr>
      <xdr:spPr>
        <a:xfrm>
          <a:off x="13830300" y="4511040"/>
          <a:ext cx="144780" cy="144780"/>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510540</xdr:colOff>
      <xdr:row>25</xdr:row>
      <xdr:rowOff>144780</xdr:rowOff>
    </xdr:from>
    <xdr:to>
      <xdr:col>20</xdr:col>
      <xdr:colOff>45720</xdr:colOff>
      <xdr:row>26</xdr:row>
      <xdr:rowOff>114300</xdr:rowOff>
    </xdr:to>
    <xdr:sp macro="" textlink="">
      <xdr:nvSpPr>
        <xdr:cNvPr id="48" name="Flowchart: Connector 47">
          <a:extLst>
            <a:ext uri="{FF2B5EF4-FFF2-40B4-BE49-F238E27FC236}">
              <a16:creationId xmlns:a16="http://schemas.microsoft.com/office/drawing/2014/main" id="{B5913FE0-3A99-4698-99A2-34F1C9712654}"/>
            </a:ext>
          </a:extLst>
        </xdr:cNvPr>
        <xdr:cNvSpPr/>
      </xdr:nvSpPr>
      <xdr:spPr>
        <a:xfrm>
          <a:off x="12092940" y="4526280"/>
          <a:ext cx="144780" cy="144780"/>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281940</xdr:colOff>
      <xdr:row>21</xdr:row>
      <xdr:rowOff>53340</xdr:rowOff>
    </xdr:from>
    <xdr:to>
      <xdr:col>11</xdr:col>
      <xdr:colOff>342900</xdr:colOff>
      <xdr:row>30</xdr:row>
      <xdr:rowOff>99060</xdr:rowOff>
    </xdr:to>
    <xdr:graphicFrame macro="">
      <xdr:nvGraphicFramePr>
        <xdr:cNvPr id="49" name="Chart 48">
          <a:extLst>
            <a:ext uri="{FF2B5EF4-FFF2-40B4-BE49-F238E27FC236}">
              <a16:creationId xmlns:a16="http://schemas.microsoft.com/office/drawing/2014/main" id="{00C03A5F-DF79-4C2F-80A0-0B2A26FBD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320040</xdr:colOff>
      <xdr:row>18</xdr:row>
      <xdr:rowOff>106680</xdr:rowOff>
    </xdr:from>
    <xdr:to>
      <xdr:col>8</xdr:col>
      <xdr:colOff>53340</xdr:colOff>
      <xdr:row>19</xdr:row>
      <xdr:rowOff>129540</xdr:rowOff>
    </xdr:to>
    <xdr:sp macro="" textlink="">
      <xdr:nvSpPr>
        <xdr:cNvPr id="50" name="TextBox 49">
          <a:extLst>
            <a:ext uri="{FF2B5EF4-FFF2-40B4-BE49-F238E27FC236}">
              <a16:creationId xmlns:a16="http://schemas.microsoft.com/office/drawing/2014/main" id="{C2550ABB-E37B-434B-B031-03D76A44F1C8}"/>
            </a:ext>
          </a:extLst>
        </xdr:cNvPr>
        <xdr:cNvSpPr txBox="1"/>
      </xdr:nvSpPr>
      <xdr:spPr>
        <a:xfrm>
          <a:off x="3977640" y="3261360"/>
          <a:ext cx="952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Age</a:t>
          </a:r>
          <a:r>
            <a:rPr lang="en-IN" sz="1100" b="1" baseline="0">
              <a:solidFill>
                <a:srgbClr val="E5B244"/>
              </a:solidFill>
              <a:latin typeface="Arial" panose="020B0604020202020204" pitchFamily="34" charset="0"/>
              <a:cs typeface="Arial" panose="020B0604020202020204" pitchFamily="34" charset="0"/>
            </a:rPr>
            <a:t> Range</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6</xdr:col>
      <xdr:colOff>223520</xdr:colOff>
      <xdr:row>19</xdr:row>
      <xdr:rowOff>86360</xdr:rowOff>
    </xdr:from>
    <xdr:to>
      <xdr:col>10</xdr:col>
      <xdr:colOff>589280</xdr:colOff>
      <xdr:row>20</xdr:row>
      <xdr:rowOff>137160</xdr:rowOff>
    </xdr:to>
    <xdr:sp macro="" textlink="">
      <xdr:nvSpPr>
        <xdr:cNvPr id="51" name="TextBox 50">
          <a:extLst>
            <a:ext uri="{FF2B5EF4-FFF2-40B4-BE49-F238E27FC236}">
              <a16:creationId xmlns:a16="http://schemas.microsoft.com/office/drawing/2014/main" id="{B9F65857-3036-4621-B1C5-92AFDCFE2447}"/>
            </a:ext>
          </a:extLst>
        </xdr:cNvPr>
        <xdr:cNvSpPr txBox="1"/>
      </xdr:nvSpPr>
      <xdr:spPr>
        <a:xfrm>
          <a:off x="3881120" y="3416300"/>
          <a:ext cx="2804160" cy="22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No.</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of employees according to age and gender</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39106</xdr:colOff>
      <xdr:row>18</xdr:row>
      <xdr:rowOff>129540</xdr:rowOff>
    </xdr:from>
    <xdr:to>
      <xdr:col>16</xdr:col>
      <xdr:colOff>244846</xdr:colOff>
      <xdr:row>20</xdr:row>
      <xdr:rowOff>30480</xdr:rowOff>
    </xdr:to>
    <xdr:sp macro="" textlink="">
      <xdr:nvSpPr>
        <xdr:cNvPr id="52" name="TextBox 51">
          <a:extLst>
            <a:ext uri="{FF2B5EF4-FFF2-40B4-BE49-F238E27FC236}">
              <a16:creationId xmlns:a16="http://schemas.microsoft.com/office/drawing/2014/main" id="{43C24B97-B79B-44E2-B905-3AAED3D0D883}"/>
            </a:ext>
          </a:extLst>
        </xdr:cNvPr>
        <xdr:cNvSpPr txBox="1"/>
      </xdr:nvSpPr>
      <xdr:spPr>
        <a:xfrm>
          <a:off x="7354306" y="3284220"/>
          <a:ext cx="2644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Salaries</a:t>
          </a:r>
        </a:p>
      </xdr:txBody>
    </xdr:sp>
    <xdr:clientData/>
  </xdr:twoCellAnchor>
  <xdr:twoCellAnchor>
    <xdr:from>
      <xdr:col>10</xdr:col>
      <xdr:colOff>470516</xdr:colOff>
      <xdr:row>20</xdr:row>
      <xdr:rowOff>62037</xdr:rowOff>
    </xdr:from>
    <xdr:to>
      <xdr:col>10</xdr:col>
      <xdr:colOff>554182</xdr:colOff>
      <xdr:row>20</xdr:row>
      <xdr:rowOff>146242</xdr:rowOff>
    </xdr:to>
    <xdr:sp macro="" textlink="">
      <xdr:nvSpPr>
        <xdr:cNvPr id="54" name="Flowchart: Connector 53">
          <a:extLst>
            <a:ext uri="{FF2B5EF4-FFF2-40B4-BE49-F238E27FC236}">
              <a16:creationId xmlns:a16="http://schemas.microsoft.com/office/drawing/2014/main" id="{3B24C8D6-91F2-4C26-AFF4-30E3F92AB248}"/>
            </a:ext>
          </a:extLst>
        </xdr:cNvPr>
        <xdr:cNvSpPr/>
      </xdr:nvSpPr>
      <xdr:spPr>
        <a:xfrm>
          <a:off x="6551122" y="3602643"/>
          <a:ext cx="83666" cy="84205"/>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476674</xdr:colOff>
      <xdr:row>21</xdr:row>
      <xdr:rowOff>29710</xdr:rowOff>
    </xdr:from>
    <xdr:to>
      <xdr:col>10</xdr:col>
      <xdr:colOff>560340</xdr:colOff>
      <xdr:row>21</xdr:row>
      <xdr:rowOff>113915</xdr:rowOff>
    </xdr:to>
    <xdr:sp macro="" textlink="">
      <xdr:nvSpPr>
        <xdr:cNvPr id="55" name="Flowchart: Connector 54">
          <a:extLst>
            <a:ext uri="{FF2B5EF4-FFF2-40B4-BE49-F238E27FC236}">
              <a16:creationId xmlns:a16="http://schemas.microsoft.com/office/drawing/2014/main" id="{3994EAF7-E0AD-49FA-AD9A-7C80B17CF598}"/>
            </a:ext>
          </a:extLst>
        </xdr:cNvPr>
        <xdr:cNvSpPr/>
      </xdr:nvSpPr>
      <xdr:spPr>
        <a:xfrm>
          <a:off x="6557280" y="3747346"/>
          <a:ext cx="83666" cy="84205"/>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507691</xdr:colOff>
      <xdr:row>19</xdr:row>
      <xdr:rowOff>167178</xdr:rowOff>
    </xdr:from>
    <xdr:to>
      <xdr:col>11</xdr:col>
      <xdr:colOff>407939</xdr:colOff>
      <xdr:row>21</xdr:row>
      <xdr:rowOff>7697</xdr:rowOff>
    </xdr:to>
    <xdr:sp macro="" textlink="">
      <xdr:nvSpPr>
        <xdr:cNvPr id="56" name="TextBox 55">
          <a:extLst>
            <a:ext uri="{FF2B5EF4-FFF2-40B4-BE49-F238E27FC236}">
              <a16:creationId xmlns:a16="http://schemas.microsoft.com/office/drawing/2014/main" id="{57E7D282-FC74-4339-A070-CE1FB7363D05}"/>
            </a:ext>
          </a:extLst>
        </xdr:cNvPr>
        <xdr:cNvSpPr txBox="1"/>
      </xdr:nvSpPr>
      <xdr:spPr>
        <a:xfrm>
          <a:off x="6588297" y="3530754"/>
          <a:ext cx="508309" cy="19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65000"/>
                  <a:lumOff val="35000"/>
                </a:schemeClr>
              </a:solidFill>
              <a:latin typeface="Times New Roman" panose="02020603050405020304" pitchFamily="18" charset="0"/>
              <a:cs typeface="Times New Roman" panose="02020603050405020304" pitchFamily="18" charset="0"/>
            </a:rPr>
            <a:t>Males</a:t>
          </a:r>
        </a:p>
      </xdr:txBody>
    </xdr:sp>
    <xdr:clientData/>
  </xdr:twoCellAnchor>
  <xdr:twoCellAnchor>
    <xdr:from>
      <xdr:col>10</xdr:col>
      <xdr:colOff>513848</xdr:colOff>
      <xdr:row>20</xdr:row>
      <xdr:rowOff>150246</xdr:rowOff>
    </xdr:from>
    <xdr:to>
      <xdr:col>11</xdr:col>
      <xdr:colOff>600363</xdr:colOff>
      <xdr:row>21</xdr:row>
      <xdr:rowOff>146243</xdr:rowOff>
    </xdr:to>
    <xdr:sp macro="" textlink="">
      <xdr:nvSpPr>
        <xdr:cNvPr id="57" name="TextBox 56">
          <a:extLst>
            <a:ext uri="{FF2B5EF4-FFF2-40B4-BE49-F238E27FC236}">
              <a16:creationId xmlns:a16="http://schemas.microsoft.com/office/drawing/2014/main" id="{BDA0BC60-C963-4F68-820E-0A1226E0FC92}"/>
            </a:ext>
          </a:extLst>
        </xdr:cNvPr>
        <xdr:cNvSpPr txBox="1"/>
      </xdr:nvSpPr>
      <xdr:spPr>
        <a:xfrm>
          <a:off x="6594454" y="3690852"/>
          <a:ext cx="694576" cy="17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65000"/>
                  <a:lumOff val="35000"/>
                </a:schemeClr>
              </a:solidFill>
              <a:latin typeface="Times New Roman" panose="02020603050405020304" pitchFamily="18" charset="0"/>
              <a:cs typeface="Times New Roman" panose="02020603050405020304" pitchFamily="18" charset="0"/>
            </a:rPr>
            <a:t>Females</a:t>
          </a:r>
        </a:p>
      </xdr:txBody>
    </xdr:sp>
    <xdr:clientData/>
  </xdr:twoCellAnchor>
  <xdr:twoCellAnchor>
    <xdr:from>
      <xdr:col>2</xdr:col>
      <xdr:colOff>223520</xdr:colOff>
      <xdr:row>24</xdr:row>
      <xdr:rowOff>10160</xdr:rowOff>
    </xdr:from>
    <xdr:to>
      <xdr:col>5</xdr:col>
      <xdr:colOff>406400</xdr:colOff>
      <xdr:row>27</xdr:row>
      <xdr:rowOff>142240</xdr:rowOff>
    </xdr:to>
    <xdr:graphicFrame macro="">
      <xdr:nvGraphicFramePr>
        <xdr:cNvPr id="58" name="Chart 57">
          <a:extLst>
            <a:ext uri="{FF2B5EF4-FFF2-40B4-BE49-F238E27FC236}">
              <a16:creationId xmlns:a16="http://schemas.microsoft.com/office/drawing/2014/main" id="{5B42102C-297D-4FDD-BA27-A034D19E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193040</xdr:colOff>
      <xdr:row>26</xdr:row>
      <xdr:rowOff>81280</xdr:rowOff>
    </xdr:from>
    <xdr:to>
      <xdr:col>5</xdr:col>
      <xdr:colOff>426720</xdr:colOff>
      <xdr:row>29</xdr:row>
      <xdr:rowOff>85786</xdr:rowOff>
    </xdr:to>
    <xdr:graphicFrame macro="">
      <xdr:nvGraphicFramePr>
        <xdr:cNvPr id="59" name="Chart 58">
          <a:extLst>
            <a:ext uri="{FF2B5EF4-FFF2-40B4-BE49-F238E27FC236}">
              <a16:creationId xmlns:a16="http://schemas.microsoft.com/office/drawing/2014/main" id="{5AD17BE5-63E3-439A-AD82-9DBF133A1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213360</xdr:colOff>
      <xdr:row>28</xdr:row>
      <xdr:rowOff>40640</xdr:rowOff>
    </xdr:from>
    <xdr:to>
      <xdr:col>5</xdr:col>
      <xdr:colOff>406400</xdr:colOff>
      <xdr:row>31</xdr:row>
      <xdr:rowOff>142240</xdr:rowOff>
    </xdr:to>
    <xdr:graphicFrame macro="">
      <xdr:nvGraphicFramePr>
        <xdr:cNvPr id="60" name="Chart 59">
          <a:extLst>
            <a:ext uri="{FF2B5EF4-FFF2-40B4-BE49-F238E27FC236}">
              <a16:creationId xmlns:a16="http://schemas.microsoft.com/office/drawing/2014/main" id="{2ACAD5AA-223D-4B83-81D6-8FCA8B07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208280</xdr:colOff>
      <xdr:row>25</xdr:row>
      <xdr:rowOff>10160</xdr:rowOff>
    </xdr:from>
    <xdr:ext cx="1264920" cy="256540"/>
    <xdr:sp macro="" textlink="">
      <xdr:nvSpPr>
        <xdr:cNvPr id="64" name="TextBox 63">
          <a:extLst>
            <a:ext uri="{FF2B5EF4-FFF2-40B4-BE49-F238E27FC236}">
              <a16:creationId xmlns:a16="http://schemas.microsoft.com/office/drawing/2014/main" id="{6C099455-BBD9-4262-B454-20CEC4BC653D}"/>
            </a:ext>
          </a:extLst>
        </xdr:cNvPr>
        <xdr:cNvSpPr txBox="1"/>
      </xdr:nvSpPr>
      <xdr:spPr>
        <a:xfrm>
          <a:off x="208280" y="432816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Branch</a:t>
          </a:r>
          <a:r>
            <a:rPr lang="en-IN" sz="1400" b="0" baseline="0">
              <a:solidFill>
                <a:schemeClr val="bg1"/>
              </a:solidFill>
              <a:latin typeface="Times New Roman" panose="02020603050405020304" pitchFamily="18" charset="0"/>
              <a:cs typeface="Times New Roman" panose="02020603050405020304" pitchFamily="18" charset="0"/>
            </a:rPr>
            <a:t> Office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220980</xdr:colOff>
      <xdr:row>27</xdr:row>
      <xdr:rowOff>10160</xdr:rowOff>
    </xdr:from>
    <xdr:ext cx="1310640" cy="281940"/>
    <xdr:sp macro="" textlink="">
      <xdr:nvSpPr>
        <xdr:cNvPr id="65" name="TextBox 64">
          <a:extLst>
            <a:ext uri="{FF2B5EF4-FFF2-40B4-BE49-F238E27FC236}">
              <a16:creationId xmlns:a16="http://schemas.microsoft.com/office/drawing/2014/main" id="{E9FC7E8D-C875-440F-BF9A-FE2A2F2CB160}"/>
            </a:ext>
          </a:extLst>
        </xdr:cNvPr>
        <xdr:cNvSpPr txBox="1"/>
      </xdr:nvSpPr>
      <xdr:spPr>
        <a:xfrm>
          <a:off x="220980" y="467360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Head</a:t>
          </a:r>
          <a:r>
            <a:rPr lang="en-IN" sz="1400" b="0" baseline="0">
              <a:solidFill>
                <a:schemeClr val="bg1"/>
              </a:solidFill>
              <a:latin typeface="Times New Roman" panose="02020603050405020304" pitchFamily="18" charset="0"/>
              <a:cs typeface="Times New Roman" panose="02020603050405020304" pitchFamily="18" charset="0"/>
            </a:rPr>
            <a:t> Office</a:t>
          </a:r>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243840</xdr:colOff>
      <xdr:row>28</xdr:row>
      <xdr:rowOff>167640</xdr:rowOff>
    </xdr:from>
    <xdr:ext cx="1104900" cy="281940"/>
    <xdr:sp macro="" textlink="">
      <xdr:nvSpPr>
        <xdr:cNvPr id="66" name="TextBox 65">
          <a:extLst>
            <a:ext uri="{FF2B5EF4-FFF2-40B4-BE49-F238E27FC236}">
              <a16:creationId xmlns:a16="http://schemas.microsoft.com/office/drawing/2014/main" id="{139A897E-7823-4BFF-88D7-FC12D2577212}"/>
            </a:ext>
          </a:extLst>
        </xdr:cNvPr>
        <xdr:cNvSpPr txBox="1"/>
      </xdr:nvSpPr>
      <xdr:spPr>
        <a:xfrm>
          <a:off x="243840" y="500380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solidFill>
                <a:schemeClr val="bg1"/>
              </a:solidFill>
              <a:latin typeface="Times New Roman" panose="02020603050405020304" pitchFamily="18" charset="0"/>
              <a:cs typeface="Times New Roman" panose="02020603050405020304" pitchFamily="18" charset="0"/>
            </a:rPr>
            <a:t>Remote</a:t>
          </a:r>
        </a:p>
      </xdr:txBody>
    </xdr:sp>
    <xdr:clientData/>
  </xdr:oneCellAnchor>
  <xdr:oneCellAnchor>
    <xdr:from>
      <xdr:col>5</xdr:col>
      <xdr:colOff>238760</xdr:colOff>
      <xdr:row>25</xdr:row>
      <xdr:rowOff>40640</xdr:rowOff>
    </xdr:from>
    <xdr:ext cx="1264920" cy="256540"/>
    <xdr:sp macro="" textlink="Pivot_tables!P10">
      <xdr:nvSpPr>
        <xdr:cNvPr id="67" name="TextBox 66">
          <a:extLst>
            <a:ext uri="{FF2B5EF4-FFF2-40B4-BE49-F238E27FC236}">
              <a16:creationId xmlns:a16="http://schemas.microsoft.com/office/drawing/2014/main" id="{F5638F8E-1257-4916-B431-DA5C80BCF427}"/>
            </a:ext>
          </a:extLst>
        </xdr:cNvPr>
        <xdr:cNvSpPr txBox="1"/>
      </xdr:nvSpPr>
      <xdr:spPr>
        <a:xfrm>
          <a:off x="3286760" y="435864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EFFD8E6-9BDE-42AA-B0E7-273ED111F082}" type="TxLink">
            <a:rPr lang="en-US" sz="1100" b="1" i="0" u="none" strike="noStrike">
              <a:solidFill>
                <a:schemeClr val="bg1"/>
              </a:solidFill>
              <a:latin typeface="Aptos Narrow"/>
              <a:cs typeface="Times New Roman" panose="02020603050405020304" pitchFamily="18" charset="0"/>
            </a:rPr>
            <a:pPr/>
            <a:t>46%</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5</xdr:col>
      <xdr:colOff>231140</xdr:colOff>
      <xdr:row>27</xdr:row>
      <xdr:rowOff>30480</xdr:rowOff>
    </xdr:from>
    <xdr:ext cx="1310640" cy="281940"/>
    <xdr:sp macro="" textlink="Pivot_tables!P11">
      <xdr:nvSpPr>
        <xdr:cNvPr id="68" name="TextBox 67">
          <a:extLst>
            <a:ext uri="{FF2B5EF4-FFF2-40B4-BE49-F238E27FC236}">
              <a16:creationId xmlns:a16="http://schemas.microsoft.com/office/drawing/2014/main" id="{B6629D58-40F5-4009-B6DE-DB3109A13FC9}"/>
            </a:ext>
          </a:extLst>
        </xdr:cNvPr>
        <xdr:cNvSpPr txBox="1"/>
      </xdr:nvSpPr>
      <xdr:spPr>
        <a:xfrm>
          <a:off x="3279140" y="4693920"/>
          <a:ext cx="131064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8BA711B-347D-4F46-AAE6-772F27256B04}" type="TxLink">
            <a:rPr lang="en-US" sz="1100" b="1" i="0" u="none" strike="noStrike">
              <a:solidFill>
                <a:schemeClr val="bg1"/>
              </a:solidFill>
              <a:latin typeface="Aptos Narrow"/>
              <a:cs typeface="Times New Roman" panose="02020603050405020304" pitchFamily="18" charset="0"/>
            </a:rPr>
            <a:pPr/>
            <a:t>16%</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5</xdr:col>
      <xdr:colOff>254000</xdr:colOff>
      <xdr:row>29</xdr:row>
      <xdr:rowOff>15240</xdr:rowOff>
    </xdr:from>
    <xdr:ext cx="1104900" cy="281940"/>
    <xdr:sp macro="" textlink="Pivot_tables!P12">
      <xdr:nvSpPr>
        <xdr:cNvPr id="69" name="TextBox 68">
          <a:extLst>
            <a:ext uri="{FF2B5EF4-FFF2-40B4-BE49-F238E27FC236}">
              <a16:creationId xmlns:a16="http://schemas.microsoft.com/office/drawing/2014/main" id="{80F07A29-62C8-4A5C-A383-098A273B4CEC}"/>
            </a:ext>
          </a:extLst>
        </xdr:cNvPr>
        <xdr:cNvSpPr txBox="1"/>
      </xdr:nvSpPr>
      <xdr:spPr>
        <a:xfrm>
          <a:off x="3302000" y="5024120"/>
          <a:ext cx="11049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BE757B7-B4E7-4AE5-ACCD-88800AA22433}" type="TxLink">
            <a:rPr lang="en-US" sz="1100" b="1" i="0" u="none" strike="noStrike">
              <a:solidFill>
                <a:schemeClr val="bg1"/>
              </a:solidFill>
              <a:latin typeface="Aptos Narrow"/>
              <a:cs typeface="Times New Roman" panose="02020603050405020304" pitchFamily="18" charset="0"/>
            </a:rPr>
            <a:pPr/>
            <a:t>38%</a:t>
          </a:fld>
          <a:endParaRPr lang="en-IN" sz="1400" b="0">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294640</xdr:colOff>
      <xdr:row>22</xdr:row>
      <xdr:rowOff>121920</xdr:rowOff>
    </xdr:from>
    <xdr:to>
      <xdr:col>2</xdr:col>
      <xdr:colOff>254000</xdr:colOff>
      <xdr:row>24</xdr:row>
      <xdr:rowOff>25400</xdr:rowOff>
    </xdr:to>
    <xdr:sp macro="" textlink="">
      <xdr:nvSpPr>
        <xdr:cNvPr id="70" name="TextBox 69">
          <a:extLst>
            <a:ext uri="{FF2B5EF4-FFF2-40B4-BE49-F238E27FC236}">
              <a16:creationId xmlns:a16="http://schemas.microsoft.com/office/drawing/2014/main" id="{5393F08A-BB53-4B65-AB03-EA505DC38B3F}"/>
            </a:ext>
          </a:extLst>
        </xdr:cNvPr>
        <xdr:cNvSpPr txBox="1"/>
      </xdr:nvSpPr>
      <xdr:spPr>
        <a:xfrm>
          <a:off x="294640" y="3977640"/>
          <a:ext cx="117856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Work</a:t>
          </a:r>
          <a:r>
            <a:rPr lang="en-IN" sz="1100" b="1" baseline="0">
              <a:solidFill>
                <a:srgbClr val="E5B244"/>
              </a:solidFill>
              <a:latin typeface="Arial" panose="020B0604020202020204" pitchFamily="34" charset="0"/>
              <a:cs typeface="Arial" panose="020B0604020202020204" pitchFamily="34" charset="0"/>
            </a:rPr>
            <a:t> Location</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0</xdr:col>
      <xdr:colOff>307340</xdr:colOff>
      <xdr:row>23</xdr:row>
      <xdr:rowOff>104140</xdr:rowOff>
    </xdr:from>
    <xdr:to>
      <xdr:col>3</xdr:col>
      <xdr:colOff>60960</xdr:colOff>
      <xdr:row>24</xdr:row>
      <xdr:rowOff>137160</xdr:rowOff>
    </xdr:to>
    <xdr:sp macro="" textlink="">
      <xdr:nvSpPr>
        <xdr:cNvPr id="71" name="TextBox 70">
          <a:extLst>
            <a:ext uri="{FF2B5EF4-FFF2-40B4-BE49-F238E27FC236}">
              <a16:creationId xmlns:a16="http://schemas.microsoft.com/office/drawing/2014/main" id="{1AA2D1EB-3908-4E30-9D15-CDF8517429B9}"/>
            </a:ext>
          </a:extLst>
        </xdr:cNvPr>
        <xdr:cNvSpPr txBox="1"/>
      </xdr:nvSpPr>
      <xdr:spPr>
        <a:xfrm>
          <a:off x="307340" y="4135120"/>
          <a:ext cx="1582420"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Employees</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to workplace </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oneCellAnchor>
    <xdr:from>
      <xdr:col>0</xdr:col>
      <xdr:colOff>365760</xdr:colOff>
      <xdr:row>12</xdr:row>
      <xdr:rowOff>55880</xdr:rowOff>
    </xdr:from>
    <xdr:ext cx="1711960" cy="375920"/>
    <xdr:sp macro="" textlink="">
      <xdr:nvSpPr>
        <xdr:cNvPr id="72" name="TextBox 71">
          <a:extLst>
            <a:ext uri="{FF2B5EF4-FFF2-40B4-BE49-F238E27FC236}">
              <a16:creationId xmlns:a16="http://schemas.microsoft.com/office/drawing/2014/main" id="{78D1E382-B92C-4FED-95DD-63092FC5898D}"/>
            </a:ext>
          </a:extLst>
        </xdr:cNvPr>
        <xdr:cNvSpPr txBox="1"/>
      </xdr:nvSpPr>
      <xdr:spPr>
        <a:xfrm>
          <a:off x="365760" y="2159000"/>
          <a:ext cx="1711960" cy="375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Communication</a:t>
          </a:r>
        </a:p>
      </xdr:txBody>
    </xdr:sp>
    <xdr:clientData/>
  </xdr:oneCellAnchor>
  <xdr:oneCellAnchor>
    <xdr:from>
      <xdr:col>0</xdr:col>
      <xdr:colOff>381000</xdr:colOff>
      <xdr:row>14</xdr:row>
      <xdr:rowOff>33020</xdr:rowOff>
    </xdr:from>
    <xdr:ext cx="998220" cy="355600"/>
    <xdr:sp macro="" textlink="">
      <xdr:nvSpPr>
        <xdr:cNvPr id="73" name="TextBox 72">
          <a:extLst>
            <a:ext uri="{FF2B5EF4-FFF2-40B4-BE49-F238E27FC236}">
              <a16:creationId xmlns:a16="http://schemas.microsoft.com/office/drawing/2014/main" id="{9C1A50BE-5304-482D-9D0E-455DF0CD6B1A}"/>
            </a:ext>
          </a:extLst>
        </xdr:cNvPr>
        <xdr:cNvSpPr txBox="1"/>
      </xdr:nvSpPr>
      <xdr:spPr>
        <a:xfrm>
          <a:off x="381000" y="2486660"/>
          <a:ext cx="998220"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Design</a:t>
          </a:r>
        </a:p>
      </xdr:txBody>
    </xdr:sp>
    <xdr:clientData/>
  </xdr:oneCellAnchor>
  <xdr:oneCellAnchor>
    <xdr:from>
      <xdr:col>0</xdr:col>
      <xdr:colOff>383540</xdr:colOff>
      <xdr:row>16</xdr:row>
      <xdr:rowOff>27940</xdr:rowOff>
    </xdr:from>
    <xdr:ext cx="792480" cy="279400"/>
    <xdr:sp macro="" textlink="">
      <xdr:nvSpPr>
        <xdr:cNvPr id="74" name="TextBox 73">
          <a:extLst>
            <a:ext uri="{FF2B5EF4-FFF2-40B4-BE49-F238E27FC236}">
              <a16:creationId xmlns:a16="http://schemas.microsoft.com/office/drawing/2014/main" id="{46F3E6A1-0631-44B7-A8CD-DF0A372F48CD}"/>
            </a:ext>
          </a:extLst>
        </xdr:cNvPr>
        <xdr:cNvSpPr txBox="1"/>
      </xdr:nvSpPr>
      <xdr:spPr>
        <a:xfrm>
          <a:off x="383540" y="2832100"/>
          <a:ext cx="792480"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Excel</a:t>
          </a:r>
        </a:p>
      </xdr:txBody>
    </xdr:sp>
    <xdr:clientData/>
  </xdr:oneCellAnchor>
  <xdr:oneCellAnchor>
    <xdr:from>
      <xdr:col>0</xdr:col>
      <xdr:colOff>370840</xdr:colOff>
      <xdr:row>18</xdr:row>
      <xdr:rowOff>12700</xdr:rowOff>
    </xdr:from>
    <xdr:ext cx="1473200" cy="325120"/>
    <xdr:sp macro="" textlink="">
      <xdr:nvSpPr>
        <xdr:cNvPr id="75" name="TextBox 74">
          <a:extLst>
            <a:ext uri="{FF2B5EF4-FFF2-40B4-BE49-F238E27FC236}">
              <a16:creationId xmlns:a16="http://schemas.microsoft.com/office/drawing/2014/main" id="{B4ED65C2-5181-4665-A7C9-EF63D5AB25BE}"/>
            </a:ext>
          </a:extLst>
        </xdr:cNvPr>
        <xdr:cNvSpPr txBox="1"/>
      </xdr:nvSpPr>
      <xdr:spPr>
        <a:xfrm>
          <a:off x="370840" y="3167380"/>
          <a:ext cx="1473200" cy="32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Management</a:t>
          </a:r>
        </a:p>
      </xdr:txBody>
    </xdr:sp>
    <xdr:clientData/>
  </xdr:oneCellAnchor>
  <xdr:oneCellAnchor>
    <xdr:from>
      <xdr:col>0</xdr:col>
      <xdr:colOff>373380</xdr:colOff>
      <xdr:row>20</xdr:row>
      <xdr:rowOff>22860</xdr:rowOff>
    </xdr:from>
    <xdr:ext cx="1043940" cy="332740"/>
    <xdr:sp macro="" textlink="">
      <xdr:nvSpPr>
        <xdr:cNvPr id="76" name="TextBox 75">
          <a:extLst>
            <a:ext uri="{FF2B5EF4-FFF2-40B4-BE49-F238E27FC236}">
              <a16:creationId xmlns:a16="http://schemas.microsoft.com/office/drawing/2014/main" id="{D9FB92CE-D938-460F-AE8B-437465A36EB9}"/>
            </a:ext>
          </a:extLst>
        </xdr:cNvPr>
        <xdr:cNvSpPr txBox="1"/>
      </xdr:nvSpPr>
      <xdr:spPr>
        <a:xfrm>
          <a:off x="373380" y="3528060"/>
          <a:ext cx="1043940" cy="332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latin typeface="Times New Roman" panose="02020603050405020304" pitchFamily="18" charset="0"/>
              <a:cs typeface="Times New Roman" panose="02020603050405020304" pitchFamily="18" charset="0"/>
            </a:rPr>
            <a:t>Python</a:t>
          </a:r>
        </a:p>
      </xdr:txBody>
    </xdr:sp>
    <xdr:clientData/>
  </xdr:oneCellAnchor>
  <xdr:oneCellAnchor>
    <xdr:from>
      <xdr:col>4</xdr:col>
      <xdr:colOff>299720</xdr:colOff>
      <xdr:row>11</xdr:row>
      <xdr:rowOff>132080</xdr:rowOff>
    </xdr:from>
    <xdr:ext cx="1264920" cy="256540"/>
    <xdr:sp macro="" textlink="Pivot_tables!P10">
      <xdr:nvSpPr>
        <xdr:cNvPr id="92" name="TextBox 91">
          <a:extLst>
            <a:ext uri="{FF2B5EF4-FFF2-40B4-BE49-F238E27FC236}">
              <a16:creationId xmlns:a16="http://schemas.microsoft.com/office/drawing/2014/main" id="{85F9A9E4-2563-451A-A9BB-3F72A85FA6E2}"/>
            </a:ext>
          </a:extLst>
        </xdr:cNvPr>
        <xdr:cNvSpPr txBox="1"/>
      </xdr:nvSpPr>
      <xdr:spPr>
        <a:xfrm>
          <a:off x="2738120" y="20320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299720</xdr:colOff>
      <xdr:row>13</xdr:row>
      <xdr:rowOff>121920</xdr:rowOff>
    </xdr:from>
    <xdr:ext cx="1264920" cy="256540"/>
    <xdr:sp macro="" textlink="Pivot_tables!P10">
      <xdr:nvSpPr>
        <xdr:cNvPr id="93" name="TextBox 92">
          <a:extLst>
            <a:ext uri="{FF2B5EF4-FFF2-40B4-BE49-F238E27FC236}">
              <a16:creationId xmlns:a16="http://schemas.microsoft.com/office/drawing/2014/main" id="{144AF6B9-B03D-454B-B7B5-A415D8097E91}"/>
            </a:ext>
          </a:extLst>
        </xdr:cNvPr>
        <xdr:cNvSpPr txBox="1"/>
      </xdr:nvSpPr>
      <xdr:spPr>
        <a:xfrm>
          <a:off x="2738120" y="236728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391160</xdr:colOff>
      <xdr:row>15</xdr:row>
      <xdr:rowOff>101600</xdr:rowOff>
    </xdr:from>
    <xdr:ext cx="1264920" cy="256540"/>
    <xdr:sp macro="" textlink="Pivot_tables!P10">
      <xdr:nvSpPr>
        <xdr:cNvPr id="94" name="TextBox 93">
          <a:extLst>
            <a:ext uri="{FF2B5EF4-FFF2-40B4-BE49-F238E27FC236}">
              <a16:creationId xmlns:a16="http://schemas.microsoft.com/office/drawing/2014/main" id="{32CA33F6-0F27-4DCA-B060-09396F25EAAB}"/>
            </a:ext>
          </a:extLst>
        </xdr:cNvPr>
        <xdr:cNvSpPr txBox="1"/>
      </xdr:nvSpPr>
      <xdr:spPr>
        <a:xfrm>
          <a:off x="2829560" y="26924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330200</xdr:colOff>
      <xdr:row>17</xdr:row>
      <xdr:rowOff>111760</xdr:rowOff>
    </xdr:from>
    <xdr:ext cx="1264920" cy="256540"/>
    <xdr:sp macro="" textlink="Pivot_tables!P10">
      <xdr:nvSpPr>
        <xdr:cNvPr id="95" name="TextBox 94">
          <a:extLst>
            <a:ext uri="{FF2B5EF4-FFF2-40B4-BE49-F238E27FC236}">
              <a16:creationId xmlns:a16="http://schemas.microsoft.com/office/drawing/2014/main" id="{1106776D-8493-4336-9602-A55A681A8E6A}"/>
            </a:ext>
          </a:extLst>
        </xdr:cNvPr>
        <xdr:cNvSpPr txBox="1"/>
      </xdr:nvSpPr>
      <xdr:spPr>
        <a:xfrm>
          <a:off x="2768600" y="304800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oneCellAnchor>
    <xdr:from>
      <xdr:col>4</xdr:col>
      <xdr:colOff>401320</xdr:colOff>
      <xdr:row>19</xdr:row>
      <xdr:rowOff>81280</xdr:rowOff>
    </xdr:from>
    <xdr:ext cx="1264920" cy="256540"/>
    <xdr:sp macro="" textlink="Pivot_tables!P10">
      <xdr:nvSpPr>
        <xdr:cNvPr id="96" name="TextBox 95">
          <a:extLst>
            <a:ext uri="{FF2B5EF4-FFF2-40B4-BE49-F238E27FC236}">
              <a16:creationId xmlns:a16="http://schemas.microsoft.com/office/drawing/2014/main" id="{783C46BD-835B-449D-8951-391FA179DCB8}"/>
            </a:ext>
          </a:extLst>
        </xdr:cNvPr>
        <xdr:cNvSpPr txBox="1"/>
      </xdr:nvSpPr>
      <xdr:spPr>
        <a:xfrm>
          <a:off x="2839720" y="3362960"/>
          <a:ext cx="1264920" cy="25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solidFill>
              <a:srgbClr val="E5B244"/>
            </a:solidFill>
            <a:latin typeface="Arial Black" panose="020B0A04020102020204" pitchFamily="34" charset="0"/>
            <a:cs typeface="Times New Roman" panose="02020603050405020304" pitchFamily="18" charset="0"/>
          </a:endParaRPr>
        </a:p>
      </xdr:txBody>
    </xdr:sp>
    <xdr:clientData/>
  </xdr:oneCellAnchor>
  <xdr:twoCellAnchor>
    <xdr:from>
      <xdr:col>0</xdr:col>
      <xdr:colOff>490220</xdr:colOff>
      <xdr:row>6</xdr:row>
      <xdr:rowOff>162560</xdr:rowOff>
    </xdr:from>
    <xdr:to>
      <xdr:col>2</xdr:col>
      <xdr:colOff>591820</xdr:colOff>
      <xdr:row>10</xdr:row>
      <xdr:rowOff>83820</xdr:rowOff>
    </xdr:to>
    <xdr:sp macro="" textlink="">
      <xdr:nvSpPr>
        <xdr:cNvPr id="97" name="TextBox 96">
          <a:extLst>
            <a:ext uri="{FF2B5EF4-FFF2-40B4-BE49-F238E27FC236}">
              <a16:creationId xmlns:a16="http://schemas.microsoft.com/office/drawing/2014/main" id="{53E23288-7C77-49E9-9507-DC28A6B72615}"/>
            </a:ext>
          </a:extLst>
        </xdr:cNvPr>
        <xdr:cNvSpPr txBox="1"/>
      </xdr:nvSpPr>
      <xdr:spPr>
        <a:xfrm>
          <a:off x="490220" y="1214120"/>
          <a:ext cx="13208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E5B244"/>
              </a:solidFill>
              <a:latin typeface="Arial" panose="020B0604020202020204" pitchFamily="34" charset="0"/>
              <a:cs typeface="Arial" panose="020B0604020202020204" pitchFamily="34" charset="0"/>
            </a:rPr>
            <a:t>Skills</a:t>
          </a:r>
          <a:r>
            <a:rPr lang="en-IN" sz="1600" b="1" baseline="0">
              <a:solidFill>
                <a:srgbClr val="E5B244"/>
              </a:solidFill>
              <a:latin typeface="Arial" panose="020B0604020202020204" pitchFamily="34" charset="0"/>
              <a:cs typeface="Arial" panose="020B0604020202020204" pitchFamily="34" charset="0"/>
            </a:rPr>
            <a:t> Breakdown</a:t>
          </a:r>
          <a:endParaRPr lang="en-IN" sz="1600" b="1">
            <a:solidFill>
              <a:srgbClr val="E5B244"/>
            </a:solidFill>
            <a:latin typeface="Arial" panose="020B0604020202020204" pitchFamily="34" charset="0"/>
            <a:cs typeface="Arial" panose="020B0604020202020204" pitchFamily="34" charset="0"/>
          </a:endParaRPr>
        </a:p>
      </xdr:txBody>
    </xdr:sp>
    <xdr:clientData/>
  </xdr:twoCellAnchor>
  <xdr:twoCellAnchor editAs="oneCell">
    <xdr:from>
      <xdr:col>3</xdr:col>
      <xdr:colOff>381000</xdr:colOff>
      <xdr:row>5</xdr:row>
      <xdr:rowOff>121920</xdr:rowOff>
    </xdr:from>
    <xdr:to>
      <xdr:col>5</xdr:col>
      <xdr:colOff>121920</xdr:colOff>
      <xdr:row>11</xdr:row>
      <xdr:rowOff>30480</xdr:rowOff>
    </xdr:to>
    <xdr:pic>
      <xdr:nvPicPr>
        <xdr:cNvPr id="101" name="Picture 100">
          <a:extLst>
            <a:ext uri="{FF2B5EF4-FFF2-40B4-BE49-F238E27FC236}">
              <a16:creationId xmlns:a16="http://schemas.microsoft.com/office/drawing/2014/main" id="{2E3D1AB4-A57E-79AF-4072-406149AD382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09800" y="998220"/>
          <a:ext cx="960120" cy="960120"/>
        </a:xfrm>
        <a:prstGeom prst="rect">
          <a:avLst/>
        </a:prstGeom>
      </xdr:spPr>
    </xdr:pic>
    <xdr:clientData/>
  </xdr:twoCellAnchor>
  <xdr:twoCellAnchor>
    <xdr:from>
      <xdr:col>4</xdr:col>
      <xdr:colOff>365760</xdr:colOff>
      <xdr:row>12</xdr:row>
      <xdr:rowOff>7620</xdr:rowOff>
    </xdr:from>
    <xdr:to>
      <xdr:col>5</xdr:col>
      <xdr:colOff>541020</xdr:colOff>
      <xdr:row>13</xdr:row>
      <xdr:rowOff>106680</xdr:rowOff>
    </xdr:to>
    <xdr:sp macro="" textlink="Pivot_tables!T13">
      <xdr:nvSpPr>
        <xdr:cNvPr id="102" name="TextBox 101">
          <a:extLst>
            <a:ext uri="{FF2B5EF4-FFF2-40B4-BE49-F238E27FC236}">
              <a16:creationId xmlns:a16="http://schemas.microsoft.com/office/drawing/2014/main" id="{DA4F7402-129C-8DE9-043F-25FE5D678A1D}"/>
            </a:ext>
          </a:extLst>
        </xdr:cNvPr>
        <xdr:cNvSpPr txBox="1"/>
      </xdr:nvSpPr>
      <xdr:spPr>
        <a:xfrm>
          <a:off x="2804160" y="211074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505A49-205B-4AB7-A71D-CF47FD75CC17}" type="TxLink">
            <a:rPr lang="en-US" sz="1600" b="1" i="0" u="none" strike="noStrike">
              <a:solidFill>
                <a:srgbClr val="E5B244"/>
              </a:solidFill>
              <a:latin typeface="Times New Roman"/>
              <a:cs typeface="Times New Roman"/>
            </a:rPr>
            <a:pPr/>
            <a:t>12</a:t>
          </a:fld>
          <a:endParaRPr lang="en-IN" sz="1600" b="1">
            <a:solidFill>
              <a:srgbClr val="E5B244"/>
            </a:solidFill>
          </a:endParaRPr>
        </a:p>
      </xdr:txBody>
    </xdr:sp>
    <xdr:clientData/>
  </xdr:twoCellAnchor>
  <xdr:twoCellAnchor>
    <xdr:from>
      <xdr:col>4</xdr:col>
      <xdr:colOff>373380</xdr:colOff>
      <xdr:row>13</xdr:row>
      <xdr:rowOff>160020</xdr:rowOff>
    </xdr:from>
    <xdr:to>
      <xdr:col>5</xdr:col>
      <xdr:colOff>548640</xdr:colOff>
      <xdr:row>15</xdr:row>
      <xdr:rowOff>83820</xdr:rowOff>
    </xdr:to>
    <xdr:sp macro="" textlink="Pivot_tables!T14">
      <xdr:nvSpPr>
        <xdr:cNvPr id="103" name="TextBox 102">
          <a:extLst>
            <a:ext uri="{FF2B5EF4-FFF2-40B4-BE49-F238E27FC236}">
              <a16:creationId xmlns:a16="http://schemas.microsoft.com/office/drawing/2014/main" id="{FA943B64-7998-4A5B-87CE-677232F79B6E}"/>
            </a:ext>
          </a:extLst>
        </xdr:cNvPr>
        <xdr:cNvSpPr txBox="1"/>
      </xdr:nvSpPr>
      <xdr:spPr>
        <a:xfrm>
          <a:off x="2811780" y="243840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37CAA-4443-442A-9267-E8F30FA175E5}" type="TxLink">
            <a:rPr lang="en-US" sz="1600" b="1" i="0" u="none" strike="noStrike">
              <a:solidFill>
                <a:srgbClr val="E5B244"/>
              </a:solidFill>
              <a:latin typeface="Times New Roman"/>
              <a:cs typeface="Times New Roman"/>
            </a:rPr>
            <a:pPr/>
            <a:t>11</a:t>
          </a:fld>
          <a:endParaRPr lang="en-IN" sz="1600" b="1">
            <a:solidFill>
              <a:srgbClr val="E5B244"/>
            </a:solidFill>
          </a:endParaRPr>
        </a:p>
      </xdr:txBody>
    </xdr:sp>
    <xdr:clientData/>
  </xdr:twoCellAnchor>
  <xdr:twoCellAnchor>
    <xdr:from>
      <xdr:col>4</xdr:col>
      <xdr:colOff>372202</xdr:colOff>
      <xdr:row>15</xdr:row>
      <xdr:rowOff>159784</xdr:rowOff>
    </xdr:from>
    <xdr:to>
      <xdr:col>5</xdr:col>
      <xdr:colOff>547462</xdr:colOff>
      <xdr:row>17</xdr:row>
      <xdr:rowOff>83584</xdr:rowOff>
    </xdr:to>
    <xdr:sp macro="" textlink="Pivot_tables!T15">
      <xdr:nvSpPr>
        <xdr:cNvPr id="104" name="TextBox 103">
          <a:extLst>
            <a:ext uri="{FF2B5EF4-FFF2-40B4-BE49-F238E27FC236}">
              <a16:creationId xmlns:a16="http://schemas.microsoft.com/office/drawing/2014/main" id="{3281AD28-34CC-429B-AED9-EFB12EC38EFB}"/>
            </a:ext>
          </a:extLst>
        </xdr:cNvPr>
        <xdr:cNvSpPr txBox="1"/>
      </xdr:nvSpPr>
      <xdr:spPr>
        <a:xfrm>
          <a:off x="2823171" y="2752155"/>
          <a:ext cx="788002" cy="269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48D412-B7BA-4410-A1F0-0C0587C75187}" type="TxLink">
            <a:rPr lang="en-US" sz="1600" b="1" i="0" u="none" strike="noStrike">
              <a:solidFill>
                <a:srgbClr val="E5B244"/>
              </a:solidFill>
              <a:latin typeface="Times New Roman"/>
              <a:cs typeface="Times New Roman"/>
            </a:rPr>
            <a:pPr/>
            <a:t>7</a:t>
          </a:fld>
          <a:endParaRPr lang="en-IN" sz="1600" b="1">
            <a:solidFill>
              <a:srgbClr val="E5B244"/>
            </a:solidFill>
          </a:endParaRPr>
        </a:p>
      </xdr:txBody>
    </xdr:sp>
    <xdr:clientData/>
  </xdr:twoCellAnchor>
  <xdr:twoCellAnchor>
    <xdr:from>
      <xdr:col>4</xdr:col>
      <xdr:colOff>381000</xdr:colOff>
      <xdr:row>18</xdr:row>
      <xdr:rowOff>0</xdr:rowOff>
    </xdr:from>
    <xdr:to>
      <xdr:col>5</xdr:col>
      <xdr:colOff>556260</xdr:colOff>
      <xdr:row>19</xdr:row>
      <xdr:rowOff>99060</xdr:rowOff>
    </xdr:to>
    <xdr:sp macro="" textlink="Pivot_tables!T16">
      <xdr:nvSpPr>
        <xdr:cNvPr id="105" name="TextBox 104">
          <a:extLst>
            <a:ext uri="{FF2B5EF4-FFF2-40B4-BE49-F238E27FC236}">
              <a16:creationId xmlns:a16="http://schemas.microsoft.com/office/drawing/2014/main" id="{F2EFFAD7-8642-4A4B-990A-8E339EE1457F}"/>
            </a:ext>
          </a:extLst>
        </xdr:cNvPr>
        <xdr:cNvSpPr txBox="1"/>
      </xdr:nvSpPr>
      <xdr:spPr>
        <a:xfrm>
          <a:off x="2819400" y="3154680"/>
          <a:ext cx="784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49C684-17E7-4CF5-A020-F16D2F0BE01B}" type="TxLink">
            <a:rPr lang="en-US" sz="1600" b="1" i="0" u="none" strike="noStrike">
              <a:solidFill>
                <a:srgbClr val="E5B244"/>
              </a:solidFill>
              <a:latin typeface="Times New Roman"/>
              <a:cs typeface="Times New Roman"/>
            </a:rPr>
            <a:pPr/>
            <a:t>11</a:t>
          </a:fld>
          <a:endParaRPr lang="en-IN" sz="1600" b="1">
            <a:solidFill>
              <a:srgbClr val="E5B244"/>
            </a:solidFill>
          </a:endParaRPr>
        </a:p>
      </xdr:txBody>
    </xdr:sp>
    <xdr:clientData/>
  </xdr:twoCellAnchor>
  <xdr:twoCellAnchor>
    <xdr:from>
      <xdr:col>4</xdr:col>
      <xdr:colOff>395297</xdr:colOff>
      <xdr:row>20</xdr:row>
      <xdr:rowOff>30008</xdr:rowOff>
    </xdr:from>
    <xdr:to>
      <xdr:col>5</xdr:col>
      <xdr:colOff>570557</xdr:colOff>
      <xdr:row>21</xdr:row>
      <xdr:rowOff>129068</xdr:rowOff>
    </xdr:to>
    <xdr:sp macro="" textlink="Pivot_tables!T17">
      <xdr:nvSpPr>
        <xdr:cNvPr id="106" name="TextBox 105">
          <a:extLst>
            <a:ext uri="{FF2B5EF4-FFF2-40B4-BE49-F238E27FC236}">
              <a16:creationId xmlns:a16="http://schemas.microsoft.com/office/drawing/2014/main" id="{E6526696-D91C-4B18-ACD0-F2ECC5ED272F}"/>
            </a:ext>
          </a:extLst>
        </xdr:cNvPr>
        <xdr:cNvSpPr txBox="1"/>
      </xdr:nvSpPr>
      <xdr:spPr>
        <a:xfrm>
          <a:off x="2846266" y="3486503"/>
          <a:ext cx="788002" cy="27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725CA-854E-44B9-BB2A-6EB6F43F3B6E}" type="TxLink">
            <a:rPr lang="en-US" sz="1600" b="1" i="0" u="none" strike="noStrike">
              <a:solidFill>
                <a:srgbClr val="E5B244"/>
              </a:solidFill>
              <a:latin typeface="Times New Roman"/>
              <a:cs typeface="Times New Roman"/>
            </a:rPr>
            <a:pPr/>
            <a:t>9</a:t>
          </a:fld>
          <a:endParaRPr lang="en-IN" sz="1600" b="1">
            <a:solidFill>
              <a:srgbClr val="E5B244"/>
            </a:solidFill>
          </a:endParaRPr>
        </a:p>
      </xdr:txBody>
    </xdr:sp>
    <xdr:clientData/>
  </xdr:twoCellAnchor>
  <xdr:twoCellAnchor>
    <xdr:from>
      <xdr:col>6</xdr:col>
      <xdr:colOff>320040</xdr:colOff>
      <xdr:row>8</xdr:row>
      <xdr:rowOff>53340</xdr:rowOff>
    </xdr:from>
    <xdr:to>
      <xdr:col>7</xdr:col>
      <xdr:colOff>480060</xdr:colOff>
      <xdr:row>12</xdr:row>
      <xdr:rowOff>15240</xdr:rowOff>
    </xdr:to>
    <xdr:sp macro="" textlink="Pivot_tables!J22">
      <xdr:nvSpPr>
        <xdr:cNvPr id="107" name="TextBox 106">
          <a:extLst>
            <a:ext uri="{FF2B5EF4-FFF2-40B4-BE49-F238E27FC236}">
              <a16:creationId xmlns:a16="http://schemas.microsoft.com/office/drawing/2014/main" id="{19C21FFC-ED13-4387-9127-05005DE5B077}"/>
            </a:ext>
          </a:extLst>
        </xdr:cNvPr>
        <xdr:cNvSpPr txBox="1"/>
      </xdr:nvSpPr>
      <xdr:spPr>
        <a:xfrm>
          <a:off x="3977640" y="1455420"/>
          <a:ext cx="76962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4FA0E-4FB4-49A4-AAAC-EAB6EE8360A9}" type="TxLink">
            <a:rPr lang="en-US" sz="4400" b="1" i="0" u="none" strike="noStrike">
              <a:solidFill>
                <a:schemeClr val="bg1"/>
              </a:solidFill>
              <a:latin typeface="Times New Roman" panose="02020603050405020304" pitchFamily="18" charset="0"/>
              <a:cs typeface="Times New Roman" panose="02020603050405020304" pitchFamily="18" charset="0"/>
            </a:rPr>
            <a:pPr algn="ctr"/>
            <a:t>50</a:t>
          </a:fld>
          <a:endParaRPr lang="en-IN" sz="4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141058</xdr:colOff>
      <xdr:row>11</xdr:row>
      <xdr:rowOff>36860</xdr:rowOff>
    </xdr:from>
    <xdr:to>
      <xdr:col>8</xdr:col>
      <xdr:colOff>362038</xdr:colOff>
      <xdr:row>13</xdr:row>
      <xdr:rowOff>36860</xdr:rowOff>
    </xdr:to>
    <xdr:sp macro="" textlink="">
      <xdr:nvSpPr>
        <xdr:cNvPr id="108" name="TextBox 107">
          <a:extLst>
            <a:ext uri="{FF2B5EF4-FFF2-40B4-BE49-F238E27FC236}">
              <a16:creationId xmlns:a16="http://schemas.microsoft.com/office/drawing/2014/main" id="{D144FA4C-ECCD-4DBA-8E1B-950179D88FB7}"/>
            </a:ext>
          </a:extLst>
        </xdr:cNvPr>
        <xdr:cNvSpPr txBox="1"/>
      </xdr:nvSpPr>
      <xdr:spPr>
        <a:xfrm>
          <a:off x="3798658" y="1964720"/>
          <a:ext cx="14401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Arial" panose="020B0604020202020204" pitchFamily="34" charset="0"/>
              <a:cs typeface="Arial" panose="020B0604020202020204" pitchFamily="34" charset="0"/>
            </a:rPr>
            <a:t>Total</a:t>
          </a:r>
          <a:r>
            <a:rPr lang="en-IN" sz="1100" b="1" baseline="0">
              <a:solidFill>
                <a:schemeClr val="bg1"/>
              </a:solidFill>
              <a:latin typeface="Arial" panose="020B0604020202020204" pitchFamily="34" charset="0"/>
              <a:cs typeface="Arial" panose="020B0604020202020204" pitchFamily="34" charset="0"/>
            </a:rPr>
            <a:t> Employees</a:t>
          </a:r>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295261</xdr:colOff>
      <xdr:row>7</xdr:row>
      <xdr:rowOff>25891</xdr:rowOff>
    </xdr:from>
    <xdr:to>
      <xdr:col>8</xdr:col>
      <xdr:colOff>595539</xdr:colOff>
      <xdr:row>8</xdr:row>
      <xdr:rowOff>159785</xdr:rowOff>
    </xdr:to>
    <xdr:sp macro="" textlink="">
      <xdr:nvSpPr>
        <xdr:cNvPr id="109" name="TextBox 108">
          <a:extLst>
            <a:ext uri="{FF2B5EF4-FFF2-40B4-BE49-F238E27FC236}">
              <a16:creationId xmlns:a16="http://schemas.microsoft.com/office/drawing/2014/main" id="{7F9CEFF8-39CD-44A4-B2ED-265A84C727D9}"/>
            </a:ext>
          </a:extLst>
        </xdr:cNvPr>
        <xdr:cNvSpPr txBox="1"/>
      </xdr:nvSpPr>
      <xdr:spPr>
        <a:xfrm>
          <a:off x="3971715" y="1235664"/>
          <a:ext cx="1525762" cy="30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E5B244"/>
              </a:solidFill>
              <a:latin typeface="Arial" panose="020B0604020202020204" pitchFamily="34" charset="0"/>
              <a:cs typeface="Arial" panose="020B0604020202020204" pitchFamily="34" charset="0"/>
            </a:rPr>
            <a:t>Employees</a:t>
          </a:r>
          <a:r>
            <a:rPr lang="en-IN" sz="1100" b="1" baseline="0">
              <a:solidFill>
                <a:srgbClr val="E5B244"/>
              </a:solidFill>
              <a:latin typeface="Arial" panose="020B0604020202020204" pitchFamily="34" charset="0"/>
              <a:cs typeface="Arial" panose="020B0604020202020204" pitchFamily="34" charset="0"/>
            </a:rPr>
            <a:t> Number</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editAs="oneCell">
    <xdr:from>
      <xdr:col>9</xdr:col>
      <xdr:colOff>502920</xdr:colOff>
      <xdr:row>7</xdr:row>
      <xdr:rowOff>15240</xdr:rowOff>
    </xdr:from>
    <xdr:to>
      <xdr:col>11</xdr:col>
      <xdr:colOff>297180</xdr:colOff>
      <xdr:row>12</xdr:row>
      <xdr:rowOff>152400</xdr:rowOff>
    </xdr:to>
    <xdr:pic>
      <xdr:nvPicPr>
        <xdr:cNvPr id="111" name="Picture 110">
          <a:extLst>
            <a:ext uri="{FF2B5EF4-FFF2-40B4-BE49-F238E27FC236}">
              <a16:creationId xmlns:a16="http://schemas.microsoft.com/office/drawing/2014/main" id="{D3C621D4-2829-EA72-A89E-5B113C3810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89320" y="1242060"/>
          <a:ext cx="1013460" cy="1013460"/>
        </a:xfrm>
        <a:prstGeom prst="rect">
          <a:avLst/>
        </a:prstGeom>
      </xdr:spPr>
    </xdr:pic>
    <xdr:clientData/>
  </xdr:twoCellAnchor>
  <xdr:twoCellAnchor>
    <xdr:from>
      <xdr:col>9</xdr:col>
      <xdr:colOff>42427</xdr:colOff>
      <xdr:row>13</xdr:row>
      <xdr:rowOff>49769</xdr:rowOff>
    </xdr:from>
    <xdr:to>
      <xdr:col>10</xdr:col>
      <xdr:colOff>385327</xdr:colOff>
      <xdr:row>14</xdr:row>
      <xdr:rowOff>72629</xdr:rowOff>
    </xdr:to>
    <xdr:sp macro="" textlink="">
      <xdr:nvSpPr>
        <xdr:cNvPr id="112" name="TextBox 111">
          <a:extLst>
            <a:ext uri="{FF2B5EF4-FFF2-40B4-BE49-F238E27FC236}">
              <a16:creationId xmlns:a16="http://schemas.microsoft.com/office/drawing/2014/main" id="{9CED8C73-B0E2-42EC-9E16-38E071C96386}"/>
            </a:ext>
          </a:extLst>
        </xdr:cNvPr>
        <xdr:cNvSpPr txBox="1"/>
      </xdr:nvSpPr>
      <xdr:spPr>
        <a:xfrm>
          <a:off x="5528827" y="2328149"/>
          <a:ext cx="952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5B244"/>
              </a:solidFill>
              <a:latin typeface="Arial" panose="020B0604020202020204" pitchFamily="34" charset="0"/>
              <a:cs typeface="Arial" panose="020B0604020202020204" pitchFamily="34" charset="0"/>
            </a:rPr>
            <a:t>Females</a:t>
          </a:r>
        </a:p>
      </xdr:txBody>
    </xdr:sp>
    <xdr:clientData/>
  </xdr:twoCellAnchor>
  <xdr:twoCellAnchor>
    <xdr:from>
      <xdr:col>6</xdr:col>
      <xdr:colOff>210067</xdr:colOff>
      <xdr:row>13</xdr:row>
      <xdr:rowOff>80248</xdr:rowOff>
    </xdr:from>
    <xdr:to>
      <xdr:col>7</xdr:col>
      <xdr:colOff>552967</xdr:colOff>
      <xdr:row>14</xdr:row>
      <xdr:rowOff>152399</xdr:rowOff>
    </xdr:to>
    <xdr:sp macro="" textlink="">
      <xdr:nvSpPr>
        <xdr:cNvPr id="113" name="TextBox 112">
          <a:extLst>
            <a:ext uri="{FF2B5EF4-FFF2-40B4-BE49-F238E27FC236}">
              <a16:creationId xmlns:a16="http://schemas.microsoft.com/office/drawing/2014/main" id="{5CD39153-0665-439A-BE96-3E205C8C7386}"/>
            </a:ext>
          </a:extLst>
        </xdr:cNvPr>
        <xdr:cNvSpPr txBox="1"/>
      </xdr:nvSpPr>
      <xdr:spPr>
        <a:xfrm>
          <a:off x="3867667" y="2358628"/>
          <a:ext cx="952500" cy="247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5B244"/>
              </a:solidFill>
              <a:latin typeface="Arial" panose="020B0604020202020204" pitchFamily="34" charset="0"/>
              <a:cs typeface="Arial" panose="020B0604020202020204" pitchFamily="34" charset="0"/>
            </a:rPr>
            <a:t>Males</a:t>
          </a:r>
        </a:p>
      </xdr:txBody>
    </xdr:sp>
    <xdr:clientData/>
  </xdr:twoCellAnchor>
  <xdr:twoCellAnchor>
    <xdr:from>
      <xdr:col>8</xdr:col>
      <xdr:colOff>411480</xdr:colOff>
      <xdr:row>13</xdr:row>
      <xdr:rowOff>137160</xdr:rowOff>
    </xdr:from>
    <xdr:to>
      <xdr:col>11</xdr:col>
      <xdr:colOff>83820</xdr:colOff>
      <xdr:row>20</xdr:row>
      <xdr:rowOff>0</xdr:rowOff>
    </xdr:to>
    <xdr:graphicFrame macro="">
      <xdr:nvGraphicFramePr>
        <xdr:cNvPr id="114" name="Chart 113">
          <a:extLst>
            <a:ext uri="{FF2B5EF4-FFF2-40B4-BE49-F238E27FC236}">
              <a16:creationId xmlns:a16="http://schemas.microsoft.com/office/drawing/2014/main" id="{CBE972D6-6FBE-418E-A59A-E9FED3F97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15240</xdr:colOff>
      <xdr:row>14</xdr:row>
      <xdr:rowOff>30480</xdr:rowOff>
    </xdr:from>
    <xdr:to>
      <xdr:col>8</xdr:col>
      <xdr:colOff>342900</xdr:colOff>
      <xdr:row>19</xdr:row>
      <xdr:rowOff>15240</xdr:rowOff>
    </xdr:to>
    <xdr:graphicFrame macro="">
      <xdr:nvGraphicFramePr>
        <xdr:cNvPr id="115" name="Chart 114">
          <a:extLst>
            <a:ext uri="{FF2B5EF4-FFF2-40B4-BE49-F238E27FC236}">
              <a16:creationId xmlns:a16="http://schemas.microsoft.com/office/drawing/2014/main" id="{72B9F46D-9717-4189-B990-450E82ED2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60960</xdr:colOff>
      <xdr:row>15</xdr:row>
      <xdr:rowOff>99060</xdr:rowOff>
    </xdr:from>
    <xdr:to>
      <xdr:col>8</xdr:col>
      <xdr:colOff>403860</xdr:colOff>
      <xdr:row>17</xdr:row>
      <xdr:rowOff>22860</xdr:rowOff>
    </xdr:to>
    <xdr:sp macro="" textlink="Pivot_tables!K20">
      <xdr:nvSpPr>
        <xdr:cNvPr id="116" name="TextBox 115">
          <a:extLst>
            <a:ext uri="{FF2B5EF4-FFF2-40B4-BE49-F238E27FC236}">
              <a16:creationId xmlns:a16="http://schemas.microsoft.com/office/drawing/2014/main" id="{5EE0843C-F493-4BE4-A78E-362AB59854BA}"/>
            </a:ext>
          </a:extLst>
        </xdr:cNvPr>
        <xdr:cNvSpPr txBox="1"/>
      </xdr:nvSpPr>
      <xdr:spPr>
        <a:xfrm>
          <a:off x="4328160" y="2727960"/>
          <a:ext cx="952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05E15F-B20C-42E4-96D0-32DFE91C217D}" type="TxLink">
            <a:rPr lang="en-US" sz="1200" b="1" i="0" u="none" strike="noStrike">
              <a:solidFill>
                <a:schemeClr val="bg1"/>
              </a:solidFill>
              <a:latin typeface="Times New Roman"/>
              <a:cs typeface="Times New Roman"/>
            </a:rPr>
            <a:pPr/>
            <a:t>52%</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533400</xdr:colOff>
      <xdr:row>15</xdr:row>
      <xdr:rowOff>91440</xdr:rowOff>
    </xdr:from>
    <xdr:to>
      <xdr:col>11</xdr:col>
      <xdr:colOff>266700</xdr:colOff>
      <xdr:row>16</xdr:row>
      <xdr:rowOff>144780</xdr:rowOff>
    </xdr:to>
    <xdr:sp macro="" textlink="Pivot_tables!K21">
      <xdr:nvSpPr>
        <xdr:cNvPr id="117" name="TextBox 116">
          <a:extLst>
            <a:ext uri="{FF2B5EF4-FFF2-40B4-BE49-F238E27FC236}">
              <a16:creationId xmlns:a16="http://schemas.microsoft.com/office/drawing/2014/main" id="{6EAE1426-4D2F-4B57-8EB0-7CFC90F6570A}"/>
            </a:ext>
          </a:extLst>
        </xdr:cNvPr>
        <xdr:cNvSpPr txBox="1"/>
      </xdr:nvSpPr>
      <xdr:spPr>
        <a:xfrm>
          <a:off x="6019800" y="2720340"/>
          <a:ext cx="952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5B203A-C78C-4CD2-902B-96E3FDA5CB33}" type="TxLink">
            <a:rPr lang="en-US" sz="1200" b="1" i="0" u="none" strike="noStrike">
              <a:solidFill>
                <a:schemeClr val="bg1"/>
              </a:solidFill>
              <a:latin typeface="Times New Roman"/>
              <a:cs typeface="Times New Roman"/>
            </a:rPr>
            <a:pPr/>
            <a:t>48%</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381000</xdr:colOff>
      <xdr:row>8</xdr:row>
      <xdr:rowOff>0</xdr:rowOff>
    </xdr:from>
    <xdr:to>
      <xdr:col>17</xdr:col>
      <xdr:colOff>182880</xdr:colOff>
      <xdr:row>16</xdr:row>
      <xdr:rowOff>0</xdr:rowOff>
    </xdr:to>
    <xdr:graphicFrame macro="">
      <xdr:nvGraphicFramePr>
        <xdr:cNvPr id="118" name="Chart 117">
          <a:extLst>
            <a:ext uri="{FF2B5EF4-FFF2-40B4-BE49-F238E27FC236}">
              <a16:creationId xmlns:a16="http://schemas.microsoft.com/office/drawing/2014/main" id="{3BBD5E69-F6C2-427A-A5D8-C6575B9E6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42180</xdr:colOff>
      <xdr:row>16</xdr:row>
      <xdr:rowOff>150706</xdr:rowOff>
    </xdr:from>
    <xdr:to>
      <xdr:col>14</xdr:col>
      <xdr:colOff>125846</xdr:colOff>
      <xdr:row>17</xdr:row>
      <xdr:rowOff>59651</xdr:rowOff>
    </xdr:to>
    <xdr:sp macro="" textlink="">
      <xdr:nvSpPr>
        <xdr:cNvPr id="119" name="Flowchart: Connector 118">
          <a:extLst>
            <a:ext uri="{FF2B5EF4-FFF2-40B4-BE49-F238E27FC236}">
              <a16:creationId xmlns:a16="http://schemas.microsoft.com/office/drawing/2014/main" id="{98D35EE3-15AF-4024-827D-A7689F3F53EC}"/>
            </a:ext>
          </a:extLst>
        </xdr:cNvPr>
        <xdr:cNvSpPr/>
      </xdr:nvSpPr>
      <xdr:spPr>
        <a:xfrm>
          <a:off x="8576580" y="2954866"/>
          <a:ext cx="83666" cy="84205"/>
        </a:xfrm>
        <a:prstGeom prst="flowChartConnector">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461280</xdr:colOff>
      <xdr:row>15</xdr:row>
      <xdr:rowOff>173566</xdr:rowOff>
    </xdr:from>
    <xdr:to>
      <xdr:col>12</xdr:col>
      <xdr:colOff>544946</xdr:colOff>
      <xdr:row>16</xdr:row>
      <xdr:rowOff>82511</xdr:rowOff>
    </xdr:to>
    <xdr:sp macro="" textlink="">
      <xdr:nvSpPr>
        <xdr:cNvPr id="120" name="Flowchart: Connector 119">
          <a:extLst>
            <a:ext uri="{FF2B5EF4-FFF2-40B4-BE49-F238E27FC236}">
              <a16:creationId xmlns:a16="http://schemas.microsoft.com/office/drawing/2014/main" id="{0162B187-9FCA-4D9D-9C49-555CD392501A}"/>
            </a:ext>
          </a:extLst>
        </xdr:cNvPr>
        <xdr:cNvSpPr/>
      </xdr:nvSpPr>
      <xdr:spPr>
        <a:xfrm>
          <a:off x="7776480" y="2802466"/>
          <a:ext cx="83666" cy="84205"/>
        </a:xfrm>
        <a:prstGeom prst="flowChartConnector">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171720</xdr:colOff>
      <xdr:row>15</xdr:row>
      <xdr:rowOff>150706</xdr:rowOff>
    </xdr:from>
    <xdr:to>
      <xdr:col>15</xdr:col>
      <xdr:colOff>255386</xdr:colOff>
      <xdr:row>16</xdr:row>
      <xdr:rowOff>59651</xdr:rowOff>
    </xdr:to>
    <xdr:sp macro="" textlink="">
      <xdr:nvSpPr>
        <xdr:cNvPr id="121" name="Flowchart: Connector 120">
          <a:extLst>
            <a:ext uri="{FF2B5EF4-FFF2-40B4-BE49-F238E27FC236}">
              <a16:creationId xmlns:a16="http://schemas.microsoft.com/office/drawing/2014/main" id="{A0B0996E-B493-477A-B76B-40169333612F}"/>
            </a:ext>
          </a:extLst>
        </xdr:cNvPr>
        <xdr:cNvSpPr/>
      </xdr:nvSpPr>
      <xdr:spPr>
        <a:xfrm>
          <a:off x="9315720" y="2779606"/>
          <a:ext cx="83666" cy="84205"/>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42180</xdr:colOff>
      <xdr:row>15</xdr:row>
      <xdr:rowOff>158326</xdr:rowOff>
    </xdr:from>
    <xdr:to>
      <xdr:col>14</xdr:col>
      <xdr:colOff>125846</xdr:colOff>
      <xdr:row>16</xdr:row>
      <xdr:rowOff>67271</xdr:rowOff>
    </xdr:to>
    <xdr:sp macro="" textlink="">
      <xdr:nvSpPr>
        <xdr:cNvPr id="122" name="Flowchart: Connector 121">
          <a:extLst>
            <a:ext uri="{FF2B5EF4-FFF2-40B4-BE49-F238E27FC236}">
              <a16:creationId xmlns:a16="http://schemas.microsoft.com/office/drawing/2014/main" id="{235DE3A4-6CCF-4FF0-901E-4523DC4F5AC7}"/>
            </a:ext>
          </a:extLst>
        </xdr:cNvPr>
        <xdr:cNvSpPr/>
      </xdr:nvSpPr>
      <xdr:spPr>
        <a:xfrm>
          <a:off x="8576580" y="2787226"/>
          <a:ext cx="83666" cy="84205"/>
        </a:xfrm>
        <a:prstGeom prst="flowChartConnector">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468900</xdr:colOff>
      <xdr:row>16</xdr:row>
      <xdr:rowOff>143086</xdr:rowOff>
    </xdr:from>
    <xdr:to>
      <xdr:col>12</xdr:col>
      <xdr:colOff>552566</xdr:colOff>
      <xdr:row>17</xdr:row>
      <xdr:rowOff>52031</xdr:rowOff>
    </xdr:to>
    <xdr:sp macro="" textlink="">
      <xdr:nvSpPr>
        <xdr:cNvPr id="123" name="Flowchart: Connector 122">
          <a:extLst>
            <a:ext uri="{FF2B5EF4-FFF2-40B4-BE49-F238E27FC236}">
              <a16:creationId xmlns:a16="http://schemas.microsoft.com/office/drawing/2014/main" id="{208FEF09-98EB-4B89-B473-7966667B4D2B}"/>
            </a:ext>
          </a:extLst>
        </xdr:cNvPr>
        <xdr:cNvSpPr/>
      </xdr:nvSpPr>
      <xdr:spPr>
        <a:xfrm>
          <a:off x="7784100" y="2947246"/>
          <a:ext cx="83666" cy="84205"/>
        </a:xfrm>
        <a:prstGeom prst="flowChartConnector">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510540</xdr:colOff>
      <xdr:row>15</xdr:row>
      <xdr:rowOff>83820</xdr:rowOff>
    </xdr:from>
    <xdr:to>
      <xdr:col>13</xdr:col>
      <xdr:colOff>487680</xdr:colOff>
      <xdr:row>16</xdr:row>
      <xdr:rowOff>121920</xdr:rowOff>
    </xdr:to>
    <xdr:sp macro="" textlink="">
      <xdr:nvSpPr>
        <xdr:cNvPr id="125" name="TextBox 124">
          <a:extLst>
            <a:ext uri="{FF2B5EF4-FFF2-40B4-BE49-F238E27FC236}">
              <a16:creationId xmlns:a16="http://schemas.microsoft.com/office/drawing/2014/main" id="{7840A878-228C-4626-978C-A2AC650F7708}"/>
            </a:ext>
          </a:extLst>
        </xdr:cNvPr>
        <xdr:cNvSpPr txBox="1"/>
      </xdr:nvSpPr>
      <xdr:spPr>
        <a:xfrm>
          <a:off x="7825740" y="2712720"/>
          <a:ext cx="5867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Analyst</a:t>
          </a:r>
        </a:p>
      </xdr:txBody>
    </xdr:sp>
    <xdr:clientData/>
  </xdr:twoCellAnchor>
  <xdr:twoCellAnchor>
    <xdr:from>
      <xdr:col>14</xdr:col>
      <xdr:colOff>76200</xdr:colOff>
      <xdr:row>15</xdr:row>
      <xdr:rowOff>60960</xdr:rowOff>
    </xdr:from>
    <xdr:to>
      <xdr:col>15</xdr:col>
      <xdr:colOff>68580</xdr:colOff>
      <xdr:row>16</xdr:row>
      <xdr:rowOff>60960</xdr:rowOff>
    </xdr:to>
    <xdr:sp macro="" textlink="">
      <xdr:nvSpPr>
        <xdr:cNvPr id="126" name="TextBox 125">
          <a:extLst>
            <a:ext uri="{FF2B5EF4-FFF2-40B4-BE49-F238E27FC236}">
              <a16:creationId xmlns:a16="http://schemas.microsoft.com/office/drawing/2014/main" id="{DC02602A-C295-4F32-9452-F851CBB255B6}"/>
            </a:ext>
          </a:extLst>
        </xdr:cNvPr>
        <xdr:cNvSpPr txBox="1"/>
      </xdr:nvSpPr>
      <xdr:spPr>
        <a:xfrm>
          <a:off x="8610600" y="2689860"/>
          <a:ext cx="6019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Manager</a:t>
          </a:r>
        </a:p>
      </xdr:txBody>
    </xdr:sp>
    <xdr:clientData/>
  </xdr:twoCellAnchor>
  <xdr:twoCellAnchor>
    <xdr:from>
      <xdr:col>15</xdr:col>
      <xdr:colOff>213360</xdr:colOff>
      <xdr:row>15</xdr:row>
      <xdr:rowOff>76200</xdr:rowOff>
    </xdr:from>
    <xdr:to>
      <xdr:col>16</xdr:col>
      <xdr:colOff>419100</xdr:colOff>
      <xdr:row>16</xdr:row>
      <xdr:rowOff>106680</xdr:rowOff>
    </xdr:to>
    <xdr:sp macro="" textlink="">
      <xdr:nvSpPr>
        <xdr:cNvPr id="127" name="TextBox 126">
          <a:extLst>
            <a:ext uri="{FF2B5EF4-FFF2-40B4-BE49-F238E27FC236}">
              <a16:creationId xmlns:a16="http://schemas.microsoft.com/office/drawing/2014/main" id="{48B2AF12-F0C0-4CA5-8035-69951EFF449B}"/>
            </a:ext>
          </a:extLst>
        </xdr:cNvPr>
        <xdr:cNvSpPr txBox="1"/>
      </xdr:nvSpPr>
      <xdr:spPr>
        <a:xfrm>
          <a:off x="9357360" y="2705100"/>
          <a:ext cx="8153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HR</a:t>
          </a:r>
          <a:r>
            <a:rPr lang="en-IN" sz="900" b="0" baseline="0">
              <a:solidFill>
                <a:schemeClr val="bg1"/>
              </a:solidFill>
              <a:latin typeface="Times New Roman" panose="02020603050405020304" pitchFamily="18" charset="0"/>
              <a:cs typeface="Times New Roman" panose="02020603050405020304" pitchFamily="18" charset="0"/>
            </a:rPr>
            <a:t> Specialist</a:t>
          </a:r>
          <a:endParaRPr lang="en-IN" sz="9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83820</xdr:colOff>
      <xdr:row>16</xdr:row>
      <xdr:rowOff>76200</xdr:rowOff>
    </xdr:from>
    <xdr:to>
      <xdr:col>15</xdr:col>
      <xdr:colOff>76200</xdr:colOff>
      <xdr:row>17</xdr:row>
      <xdr:rowOff>91440</xdr:rowOff>
    </xdr:to>
    <xdr:sp macro="" textlink="">
      <xdr:nvSpPr>
        <xdr:cNvPr id="128" name="TextBox 127">
          <a:extLst>
            <a:ext uri="{FF2B5EF4-FFF2-40B4-BE49-F238E27FC236}">
              <a16:creationId xmlns:a16="http://schemas.microsoft.com/office/drawing/2014/main" id="{514F9B9C-EE45-44C4-8789-55317692D5D2}"/>
            </a:ext>
          </a:extLst>
        </xdr:cNvPr>
        <xdr:cNvSpPr txBox="1"/>
      </xdr:nvSpPr>
      <xdr:spPr>
        <a:xfrm>
          <a:off x="8618220" y="2880360"/>
          <a:ext cx="6019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Designer</a:t>
          </a:r>
        </a:p>
      </xdr:txBody>
    </xdr:sp>
    <xdr:clientData/>
  </xdr:twoCellAnchor>
  <xdr:twoCellAnchor>
    <xdr:from>
      <xdr:col>12</xdr:col>
      <xdr:colOff>502920</xdr:colOff>
      <xdr:row>16</xdr:row>
      <xdr:rowOff>68580</xdr:rowOff>
    </xdr:from>
    <xdr:to>
      <xdr:col>13</xdr:col>
      <xdr:colOff>571500</xdr:colOff>
      <xdr:row>17</xdr:row>
      <xdr:rowOff>91440</xdr:rowOff>
    </xdr:to>
    <xdr:sp macro="" textlink="">
      <xdr:nvSpPr>
        <xdr:cNvPr id="129" name="TextBox 128">
          <a:extLst>
            <a:ext uri="{FF2B5EF4-FFF2-40B4-BE49-F238E27FC236}">
              <a16:creationId xmlns:a16="http://schemas.microsoft.com/office/drawing/2014/main" id="{6E19129B-78BD-466A-92BD-E73A2F03092C}"/>
            </a:ext>
          </a:extLst>
        </xdr:cNvPr>
        <xdr:cNvSpPr txBox="1"/>
      </xdr:nvSpPr>
      <xdr:spPr>
        <a:xfrm>
          <a:off x="7818120" y="2872740"/>
          <a:ext cx="6781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latin typeface="Times New Roman" panose="02020603050405020304" pitchFamily="18" charset="0"/>
              <a:cs typeface="Times New Roman" panose="02020603050405020304" pitchFamily="18" charset="0"/>
            </a:rPr>
            <a:t>Developer</a:t>
          </a:r>
        </a:p>
      </xdr:txBody>
    </xdr:sp>
    <xdr:clientData/>
  </xdr:twoCellAnchor>
  <xdr:twoCellAnchor>
    <xdr:from>
      <xdr:col>11</xdr:col>
      <xdr:colOff>579120</xdr:colOff>
      <xdr:row>5</xdr:row>
      <xdr:rowOff>144780</xdr:rowOff>
    </xdr:from>
    <xdr:to>
      <xdr:col>14</xdr:col>
      <xdr:colOff>38100</xdr:colOff>
      <xdr:row>7</xdr:row>
      <xdr:rowOff>30480</xdr:rowOff>
    </xdr:to>
    <xdr:sp macro="" textlink="">
      <xdr:nvSpPr>
        <xdr:cNvPr id="130" name="TextBox 129">
          <a:extLst>
            <a:ext uri="{FF2B5EF4-FFF2-40B4-BE49-F238E27FC236}">
              <a16:creationId xmlns:a16="http://schemas.microsoft.com/office/drawing/2014/main" id="{025C4663-5087-46CE-905C-96CBD0574698}"/>
            </a:ext>
          </a:extLst>
        </xdr:cNvPr>
        <xdr:cNvSpPr txBox="1"/>
      </xdr:nvSpPr>
      <xdr:spPr>
        <a:xfrm>
          <a:off x="7284720" y="1021080"/>
          <a:ext cx="12877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Leave</a:t>
          </a:r>
          <a:r>
            <a:rPr lang="en-IN" sz="1100" b="1" baseline="0">
              <a:solidFill>
                <a:srgbClr val="E5B244"/>
              </a:solidFill>
              <a:latin typeface="Arial" panose="020B0604020202020204" pitchFamily="34" charset="0"/>
              <a:cs typeface="Arial" panose="020B0604020202020204" pitchFamily="34" charset="0"/>
            </a:rPr>
            <a:t> Tracking</a:t>
          </a:r>
          <a:endParaRPr lang="en-IN" sz="1100" b="1">
            <a:solidFill>
              <a:srgbClr val="E5B244"/>
            </a:solidFill>
            <a:latin typeface="Arial" panose="020B0604020202020204" pitchFamily="34" charset="0"/>
            <a:cs typeface="Arial" panose="020B0604020202020204" pitchFamily="34" charset="0"/>
          </a:endParaRPr>
        </a:p>
      </xdr:txBody>
    </xdr:sp>
    <xdr:clientData/>
  </xdr:twoCellAnchor>
  <xdr:twoCellAnchor>
    <xdr:from>
      <xdr:col>11</xdr:col>
      <xdr:colOff>581660</xdr:colOff>
      <xdr:row>6</xdr:row>
      <xdr:rowOff>147320</xdr:rowOff>
    </xdr:from>
    <xdr:to>
      <xdr:col>14</xdr:col>
      <xdr:colOff>289560</xdr:colOff>
      <xdr:row>8</xdr:row>
      <xdr:rowOff>22860</xdr:rowOff>
    </xdr:to>
    <xdr:sp macro="" textlink="">
      <xdr:nvSpPr>
        <xdr:cNvPr id="131" name="TextBox 130">
          <a:extLst>
            <a:ext uri="{FF2B5EF4-FFF2-40B4-BE49-F238E27FC236}">
              <a16:creationId xmlns:a16="http://schemas.microsoft.com/office/drawing/2014/main" id="{76183B48-3E47-465F-B84D-C3CDFA014140}"/>
            </a:ext>
          </a:extLst>
        </xdr:cNvPr>
        <xdr:cNvSpPr txBox="1"/>
      </xdr:nvSpPr>
      <xdr:spPr>
        <a:xfrm>
          <a:off x="7287260" y="1198880"/>
          <a:ext cx="1536700" cy="226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Leave</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taken by job titles</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241039</xdr:colOff>
      <xdr:row>11</xdr:row>
      <xdr:rowOff>161637</xdr:rowOff>
    </xdr:from>
    <xdr:to>
      <xdr:col>23</xdr:col>
      <xdr:colOff>46653</xdr:colOff>
      <xdr:row>18</xdr:row>
      <xdr:rowOff>45097</xdr:rowOff>
    </xdr:to>
    <xdr:graphicFrame macro="">
      <xdr:nvGraphicFramePr>
        <xdr:cNvPr id="133" name="Chart 132">
          <a:extLst>
            <a:ext uri="{FF2B5EF4-FFF2-40B4-BE49-F238E27FC236}">
              <a16:creationId xmlns:a16="http://schemas.microsoft.com/office/drawing/2014/main" id="{731E1D59-8668-4EA8-BD90-78845D73C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416923</xdr:colOff>
      <xdr:row>9</xdr:row>
      <xdr:rowOff>136537</xdr:rowOff>
    </xdr:from>
    <xdr:to>
      <xdr:col>18</xdr:col>
      <xdr:colOff>580831</xdr:colOff>
      <xdr:row>11</xdr:row>
      <xdr:rowOff>15551</xdr:rowOff>
    </xdr:to>
    <xdr:sp macro="" textlink="">
      <xdr:nvSpPr>
        <xdr:cNvPr id="134" name="TextBox 133">
          <a:extLst>
            <a:ext uri="{FF2B5EF4-FFF2-40B4-BE49-F238E27FC236}">
              <a16:creationId xmlns:a16="http://schemas.microsoft.com/office/drawing/2014/main" id="{E44CA8C0-E344-4598-83AF-E14668478E15}"/>
            </a:ext>
          </a:extLst>
        </xdr:cNvPr>
        <xdr:cNvSpPr txBox="1"/>
      </xdr:nvSpPr>
      <xdr:spPr>
        <a:xfrm>
          <a:off x="10780123" y="1713877"/>
          <a:ext cx="773508" cy="229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Regions</a:t>
          </a:r>
        </a:p>
      </xdr:txBody>
    </xdr:sp>
    <xdr:clientData/>
  </xdr:twoCellAnchor>
  <xdr:twoCellAnchor>
    <xdr:from>
      <xdr:col>17</xdr:col>
      <xdr:colOff>396834</xdr:colOff>
      <xdr:row>10</xdr:row>
      <xdr:rowOff>133866</xdr:rowOff>
    </xdr:from>
    <xdr:to>
      <xdr:col>19</xdr:col>
      <xdr:colOff>557892</xdr:colOff>
      <xdr:row>12</xdr:row>
      <xdr:rowOff>9190</xdr:rowOff>
    </xdr:to>
    <xdr:sp macro="" textlink="">
      <xdr:nvSpPr>
        <xdr:cNvPr id="135" name="TextBox 134">
          <a:extLst>
            <a:ext uri="{FF2B5EF4-FFF2-40B4-BE49-F238E27FC236}">
              <a16:creationId xmlns:a16="http://schemas.microsoft.com/office/drawing/2014/main" id="{1144648B-31F4-480E-95A9-55782BC69669}"/>
            </a:ext>
          </a:extLst>
        </xdr:cNvPr>
        <xdr:cNvSpPr txBox="1"/>
      </xdr:nvSpPr>
      <xdr:spPr>
        <a:xfrm>
          <a:off x="10760034" y="1886466"/>
          <a:ext cx="1380258" cy="22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Employees</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per region</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363715</xdr:colOff>
      <xdr:row>2</xdr:row>
      <xdr:rowOff>115497</xdr:rowOff>
    </xdr:from>
    <xdr:to>
      <xdr:col>19</xdr:col>
      <xdr:colOff>362299</xdr:colOff>
      <xdr:row>8</xdr:row>
      <xdr:rowOff>130917</xdr:rowOff>
    </xdr:to>
    <xdr:sp macro="" textlink="Pivot_tables!Z18">
      <xdr:nvSpPr>
        <xdr:cNvPr id="137" name="TextBox 136">
          <a:extLst>
            <a:ext uri="{FF2B5EF4-FFF2-40B4-BE49-F238E27FC236}">
              <a16:creationId xmlns:a16="http://schemas.microsoft.com/office/drawing/2014/main" id="{793FB1B7-0E4B-4D1F-B58D-672DB9751E65}"/>
            </a:ext>
          </a:extLst>
        </xdr:cNvPr>
        <xdr:cNvSpPr txBox="1"/>
      </xdr:nvSpPr>
      <xdr:spPr>
        <a:xfrm>
          <a:off x="10726915" y="474085"/>
          <a:ext cx="1217784" cy="1091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0508D8-0661-4BA0-95CC-579242A724E8}" type="TxLink">
            <a:rPr lang="en-US" sz="4400" b="1" i="0" u="none" strike="noStrike">
              <a:solidFill>
                <a:schemeClr val="bg1"/>
              </a:solidFill>
              <a:latin typeface="Times New Roman"/>
              <a:cs typeface="Times New Roman"/>
            </a:rPr>
            <a:pPr algn="ctr"/>
            <a:t>2.6</a:t>
          </a:fld>
          <a:endParaRPr lang="en-IN" sz="4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501934</xdr:colOff>
      <xdr:row>7</xdr:row>
      <xdr:rowOff>42884</xdr:rowOff>
    </xdr:from>
    <xdr:to>
      <xdr:col>20</xdr:col>
      <xdr:colOff>438193</xdr:colOff>
      <xdr:row>9</xdr:row>
      <xdr:rowOff>42884</xdr:rowOff>
    </xdr:to>
    <xdr:sp macro="" textlink="">
      <xdr:nvSpPr>
        <xdr:cNvPr id="138" name="TextBox 137">
          <a:extLst>
            <a:ext uri="{FF2B5EF4-FFF2-40B4-BE49-F238E27FC236}">
              <a16:creationId xmlns:a16="http://schemas.microsoft.com/office/drawing/2014/main" id="{8CCEE1E2-EE9D-452C-8711-C40AE5767069}"/>
            </a:ext>
          </a:extLst>
        </xdr:cNvPr>
        <xdr:cNvSpPr txBox="1"/>
      </xdr:nvSpPr>
      <xdr:spPr>
        <a:xfrm>
          <a:off x="10255534" y="1297943"/>
          <a:ext cx="2374659"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Arial" panose="020B0604020202020204" pitchFamily="34" charset="0"/>
              <a:cs typeface="Arial" panose="020B0604020202020204" pitchFamily="34" charset="0"/>
            </a:rPr>
            <a:t>Average</a:t>
          </a:r>
          <a:r>
            <a:rPr lang="en-IN" sz="1100" b="1" baseline="0">
              <a:solidFill>
                <a:schemeClr val="bg1"/>
              </a:solidFill>
              <a:latin typeface="Arial" panose="020B0604020202020204" pitchFamily="34" charset="0"/>
              <a:cs typeface="Arial" panose="020B0604020202020204" pitchFamily="34" charset="0"/>
            </a:rPr>
            <a:t> Rating</a:t>
          </a:r>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20</xdr:col>
      <xdr:colOff>491602</xdr:colOff>
      <xdr:row>2</xdr:row>
      <xdr:rowOff>23091</xdr:rowOff>
    </xdr:from>
    <xdr:to>
      <xdr:col>22</xdr:col>
      <xdr:colOff>477212</xdr:colOff>
      <xdr:row>8</xdr:row>
      <xdr:rowOff>74370</xdr:rowOff>
    </xdr:to>
    <xdr:pic>
      <xdr:nvPicPr>
        <xdr:cNvPr id="140" name="Picture 139">
          <a:extLst>
            <a:ext uri="{FF2B5EF4-FFF2-40B4-BE49-F238E27FC236}">
              <a16:creationId xmlns:a16="http://schemas.microsoft.com/office/drawing/2014/main" id="{13688FDF-D2A7-99B5-69B3-D215889E19E7}"/>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652814" y="377152"/>
          <a:ext cx="1201731" cy="1113460"/>
        </a:xfrm>
        <a:prstGeom prst="rect">
          <a:avLst/>
        </a:prstGeom>
      </xdr:spPr>
    </xdr:pic>
    <xdr:clientData/>
  </xdr:twoCellAnchor>
  <xdr:twoCellAnchor>
    <xdr:from>
      <xdr:col>17</xdr:col>
      <xdr:colOff>466497</xdr:colOff>
      <xdr:row>1</xdr:row>
      <xdr:rowOff>106614</xdr:rowOff>
    </xdr:from>
    <xdr:to>
      <xdr:col>19</xdr:col>
      <xdr:colOff>321425</xdr:colOff>
      <xdr:row>3</xdr:row>
      <xdr:rowOff>1</xdr:rowOff>
    </xdr:to>
    <xdr:sp macro="" textlink="">
      <xdr:nvSpPr>
        <xdr:cNvPr id="141" name="TextBox 140">
          <a:extLst>
            <a:ext uri="{FF2B5EF4-FFF2-40B4-BE49-F238E27FC236}">
              <a16:creationId xmlns:a16="http://schemas.microsoft.com/office/drawing/2014/main" id="{71B98F7E-7B7E-4D9A-AB7A-A85340D59175}"/>
            </a:ext>
          </a:extLst>
        </xdr:cNvPr>
        <xdr:cNvSpPr txBox="1"/>
      </xdr:nvSpPr>
      <xdr:spPr>
        <a:xfrm>
          <a:off x="10829697" y="281874"/>
          <a:ext cx="1074128" cy="24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5B244"/>
              </a:solidFill>
              <a:latin typeface="Arial" panose="020B0604020202020204" pitchFamily="34" charset="0"/>
              <a:cs typeface="Arial" panose="020B0604020202020204" pitchFamily="34" charset="0"/>
            </a:rPr>
            <a:t>Performance</a:t>
          </a:r>
        </a:p>
      </xdr:txBody>
    </xdr:sp>
    <xdr:clientData/>
  </xdr:twoCellAnchor>
  <xdr:twoCellAnchor>
    <xdr:from>
      <xdr:col>17</xdr:col>
      <xdr:colOff>474210</xdr:colOff>
      <xdr:row>2</xdr:row>
      <xdr:rowOff>86975</xdr:rowOff>
    </xdr:from>
    <xdr:to>
      <xdr:col>20</xdr:col>
      <xdr:colOff>351905</xdr:colOff>
      <xdr:row>3</xdr:row>
      <xdr:rowOff>123151</xdr:rowOff>
    </xdr:to>
    <xdr:sp macro="" textlink="">
      <xdr:nvSpPr>
        <xdr:cNvPr id="142" name="TextBox 141">
          <a:extLst>
            <a:ext uri="{FF2B5EF4-FFF2-40B4-BE49-F238E27FC236}">
              <a16:creationId xmlns:a16="http://schemas.microsoft.com/office/drawing/2014/main" id="{C5F1C654-88F0-4928-913D-7851881226E2}"/>
            </a:ext>
          </a:extLst>
        </xdr:cNvPr>
        <xdr:cNvSpPr txBox="1"/>
      </xdr:nvSpPr>
      <xdr:spPr>
        <a:xfrm>
          <a:off x="10837410" y="437495"/>
          <a:ext cx="1706495" cy="21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tx1">
                  <a:lumMod val="65000"/>
                  <a:lumOff val="35000"/>
                </a:schemeClr>
              </a:solidFill>
              <a:latin typeface="Times New Roman" panose="02020603050405020304" pitchFamily="18" charset="0"/>
              <a:cs typeface="Times New Roman" panose="02020603050405020304" pitchFamily="18" charset="0"/>
            </a:rPr>
            <a:t>Average</a:t>
          </a:r>
          <a:r>
            <a:rPr lang="en-IN" sz="1050" b="0" baseline="0">
              <a:solidFill>
                <a:schemeClr val="tx1">
                  <a:lumMod val="65000"/>
                  <a:lumOff val="35000"/>
                </a:schemeClr>
              </a:solidFill>
              <a:latin typeface="Times New Roman" panose="02020603050405020304" pitchFamily="18" charset="0"/>
              <a:cs typeface="Times New Roman" panose="02020603050405020304" pitchFamily="18" charset="0"/>
            </a:rPr>
            <a:t> performance rating</a:t>
          </a:r>
          <a:endParaRPr lang="en-IN" sz="1050" b="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545100</xdr:colOff>
      <xdr:row>6</xdr:row>
      <xdr:rowOff>66887</xdr:rowOff>
    </xdr:from>
    <xdr:to>
      <xdr:col>12</xdr:col>
      <xdr:colOff>15240</xdr:colOff>
      <xdr:row>6</xdr:row>
      <xdr:rowOff>144781</xdr:rowOff>
    </xdr:to>
    <xdr:sp macro="" textlink="">
      <xdr:nvSpPr>
        <xdr:cNvPr id="143" name="Flowchart: Connector 142">
          <a:extLst>
            <a:ext uri="{FF2B5EF4-FFF2-40B4-BE49-F238E27FC236}">
              <a16:creationId xmlns:a16="http://schemas.microsoft.com/office/drawing/2014/main" id="{9C82B09A-7323-421D-9748-0070C9952E31}"/>
            </a:ext>
          </a:extLst>
        </xdr:cNvPr>
        <xdr:cNvSpPr/>
      </xdr:nvSpPr>
      <xdr:spPr>
        <a:xfrm>
          <a:off x="7250700" y="111844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583200</xdr:colOff>
      <xdr:row>19</xdr:row>
      <xdr:rowOff>66887</xdr:rowOff>
    </xdr:from>
    <xdr:to>
      <xdr:col>12</xdr:col>
      <xdr:colOff>53340</xdr:colOff>
      <xdr:row>19</xdr:row>
      <xdr:rowOff>144781</xdr:rowOff>
    </xdr:to>
    <xdr:sp macro="" textlink="">
      <xdr:nvSpPr>
        <xdr:cNvPr id="144" name="Flowchart: Connector 143">
          <a:extLst>
            <a:ext uri="{FF2B5EF4-FFF2-40B4-BE49-F238E27FC236}">
              <a16:creationId xmlns:a16="http://schemas.microsoft.com/office/drawing/2014/main" id="{3C25A5A6-0DF4-4C2B-BAAE-57BBAAD2ACD7}"/>
            </a:ext>
          </a:extLst>
        </xdr:cNvPr>
        <xdr:cNvSpPr/>
      </xdr:nvSpPr>
      <xdr:spPr>
        <a:xfrm>
          <a:off x="7288800" y="339682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385327</xdr:colOff>
      <xdr:row>10</xdr:row>
      <xdr:rowOff>42149</xdr:rowOff>
    </xdr:from>
    <xdr:to>
      <xdr:col>17</xdr:col>
      <xdr:colOff>465067</xdr:colOff>
      <xdr:row>10</xdr:row>
      <xdr:rowOff>120043</xdr:rowOff>
    </xdr:to>
    <xdr:sp macro="" textlink="">
      <xdr:nvSpPr>
        <xdr:cNvPr id="145" name="Flowchart: Connector 144">
          <a:extLst>
            <a:ext uri="{FF2B5EF4-FFF2-40B4-BE49-F238E27FC236}">
              <a16:creationId xmlns:a16="http://schemas.microsoft.com/office/drawing/2014/main" id="{7946EFD6-8D75-49A7-8816-30D831E98497}"/>
            </a:ext>
          </a:extLst>
        </xdr:cNvPr>
        <xdr:cNvSpPr/>
      </xdr:nvSpPr>
      <xdr:spPr>
        <a:xfrm>
          <a:off x="10748527" y="179474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248167</xdr:colOff>
      <xdr:row>23</xdr:row>
      <xdr:rowOff>26909</xdr:rowOff>
    </xdr:from>
    <xdr:to>
      <xdr:col>0</xdr:col>
      <xdr:colOff>327907</xdr:colOff>
      <xdr:row>23</xdr:row>
      <xdr:rowOff>104803</xdr:rowOff>
    </xdr:to>
    <xdr:sp macro="" textlink="">
      <xdr:nvSpPr>
        <xdr:cNvPr id="146" name="Flowchart: Connector 145">
          <a:extLst>
            <a:ext uri="{FF2B5EF4-FFF2-40B4-BE49-F238E27FC236}">
              <a16:creationId xmlns:a16="http://schemas.microsoft.com/office/drawing/2014/main" id="{92A1EB30-9DD6-449E-A307-276E62ADF3E7}"/>
            </a:ext>
          </a:extLst>
        </xdr:cNvPr>
        <xdr:cNvSpPr/>
      </xdr:nvSpPr>
      <xdr:spPr>
        <a:xfrm>
          <a:off x="248167" y="40578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415560</xdr:colOff>
      <xdr:row>2</xdr:row>
      <xdr:rowOff>28787</xdr:rowOff>
    </xdr:from>
    <xdr:to>
      <xdr:col>17</xdr:col>
      <xdr:colOff>495300</xdr:colOff>
      <xdr:row>2</xdr:row>
      <xdr:rowOff>106681</xdr:rowOff>
    </xdr:to>
    <xdr:sp macro="" textlink="">
      <xdr:nvSpPr>
        <xdr:cNvPr id="147" name="Flowchart: Connector 146">
          <a:extLst>
            <a:ext uri="{FF2B5EF4-FFF2-40B4-BE49-F238E27FC236}">
              <a16:creationId xmlns:a16="http://schemas.microsoft.com/office/drawing/2014/main" id="{91A6C0B9-DF23-4AD9-807E-E5734BE0746F}"/>
            </a:ext>
          </a:extLst>
        </xdr:cNvPr>
        <xdr:cNvSpPr/>
      </xdr:nvSpPr>
      <xdr:spPr>
        <a:xfrm>
          <a:off x="10778760" y="37930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270780</xdr:colOff>
      <xdr:row>19</xdr:row>
      <xdr:rowOff>5927</xdr:rowOff>
    </xdr:from>
    <xdr:to>
      <xdr:col>6</xdr:col>
      <xdr:colOff>350520</xdr:colOff>
      <xdr:row>19</xdr:row>
      <xdr:rowOff>83821</xdr:rowOff>
    </xdr:to>
    <xdr:sp macro="" textlink="">
      <xdr:nvSpPr>
        <xdr:cNvPr id="148" name="Flowchart: Connector 147">
          <a:extLst>
            <a:ext uri="{FF2B5EF4-FFF2-40B4-BE49-F238E27FC236}">
              <a16:creationId xmlns:a16="http://schemas.microsoft.com/office/drawing/2014/main" id="{0EC9290E-F3C6-4B08-BFC5-17DEDFD13F3B}"/>
            </a:ext>
          </a:extLst>
        </xdr:cNvPr>
        <xdr:cNvSpPr/>
      </xdr:nvSpPr>
      <xdr:spPr>
        <a:xfrm>
          <a:off x="3928380" y="333586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408187</xdr:colOff>
      <xdr:row>7</xdr:row>
      <xdr:rowOff>118349</xdr:rowOff>
    </xdr:from>
    <xdr:to>
      <xdr:col>0</xdr:col>
      <xdr:colOff>487927</xdr:colOff>
      <xdr:row>8</xdr:row>
      <xdr:rowOff>20983</xdr:rowOff>
    </xdr:to>
    <xdr:sp macro="" textlink="">
      <xdr:nvSpPr>
        <xdr:cNvPr id="149" name="Flowchart: Connector 148">
          <a:extLst>
            <a:ext uri="{FF2B5EF4-FFF2-40B4-BE49-F238E27FC236}">
              <a16:creationId xmlns:a16="http://schemas.microsoft.com/office/drawing/2014/main" id="{1B43FD4D-A5D5-4725-8FC4-915E1BE655DF}"/>
            </a:ext>
          </a:extLst>
        </xdr:cNvPr>
        <xdr:cNvSpPr/>
      </xdr:nvSpPr>
      <xdr:spPr>
        <a:xfrm>
          <a:off x="408187" y="134516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255540</xdr:colOff>
      <xdr:row>7</xdr:row>
      <xdr:rowOff>143087</xdr:rowOff>
    </xdr:from>
    <xdr:to>
      <xdr:col>6</xdr:col>
      <xdr:colOff>335280</xdr:colOff>
      <xdr:row>8</xdr:row>
      <xdr:rowOff>45721</xdr:rowOff>
    </xdr:to>
    <xdr:sp macro="" textlink="">
      <xdr:nvSpPr>
        <xdr:cNvPr id="150" name="Flowchart: Connector 149">
          <a:extLst>
            <a:ext uri="{FF2B5EF4-FFF2-40B4-BE49-F238E27FC236}">
              <a16:creationId xmlns:a16="http://schemas.microsoft.com/office/drawing/2014/main" id="{D24A34FF-586D-4583-9BBD-E75AB199940F}"/>
            </a:ext>
          </a:extLst>
        </xdr:cNvPr>
        <xdr:cNvSpPr/>
      </xdr:nvSpPr>
      <xdr:spPr>
        <a:xfrm>
          <a:off x="3913140" y="1369907"/>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309127</xdr:colOff>
      <xdr:row>20</xdr:row>
      <xdr:rowOff>141209</xdr:rowOff>
    </xdr:from>
    <xdr:to>
      <xdr:col>0</xdr:col>
      <xdr:colOff>388867</xdr:colOff>
      <xdr:row>21</xdr:row>
      <xdr:rowOff>43843</xdr:rowOff>
    </xdr:to>
    <xdr:sp macro="" textlink="">
      <xdr:nvSpPr>
        <xdr:cNvPr id="151" name="Flowchart: Connector 150">
          <a:extLst>
            <a:ext uri="{FF2B5EF4-FFF2-40B4-BE49-F238E27FC236}">
              <a16:creationId xmlns:a16="http://schemas.microsoft.com/office/drawing/2014/main" id="{8B15E741-95C7-40E2-AF83-3998DCE98C71}"/>
            </a:ext>
          </a:extLst>
        </xdr:cNvPr>
        <xdr:cNvSpPr/>
      </xdr:nvSpPr>
      <xdr:spPr>
        <a:xfrm>
          <a:off x="309127" y="364640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309127</xdr:colOff>
      <xdr:row>18</xdr:row>
      <xdr:rowOff>125969</xdr:rowOff>
    </xdr:from>
    <xdr:to>
      <xdr:col>0</xdr:col>
      <xdr:colOff>388867</xdr:colOff>
      <xdr:row>19</xdr:row>
      <xdr:rowOff>28603</xdr:rowOff>
    </xdr:to>
    <xdr:sp macro="" textlink="">
      <xdr:nvSpPr>
        <xdr:cNvPr id="152" name="Flowchart: Connector 151">
          <a:extLst>
            <a:ext uri="{FF2B5EF4-FFF2-40B4-BE49-F238E27FC236}">
              <a16:creationId xmlns:a16="http://schemas.microsoft.com/office/drawing/2014/main" id="{16CE0D03-D5B0-4ABA-AF9D-7BCE1985E07C}"/>
            </a:ext>
          </a:extLst>
        </xdr:cNvPr>
        <xdr:cNvSpPr/>
      </xdr:nvSpPr>
      <xdr:spPr>
        <a:xfrm>
          <a:off x="309127" y="328064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301507</xdr:colOff>
      <xdr:row>16</xdr:row>
      <xdr:rowOff>156449</xdr:rowOff>
    </xdr:from>
    <xdr:to>
      <xdr:col>0</xdr:col>
      <xdr:colOff>381247</xdr:colOff>
      <xdr:row>17</xdr:row>
      <xdr:rowOff>59083</xdr:rowOff>
    </xdr:to>
    <xdr:sp macro="" textlink="">
      <xdr:nvSpPr>
        <xdr:cNvPr id="153" name="Flowchart: Connector 152">
          <a:extLst>
            <a:ext uri="{FF2B5EF4-FFF2-40B4-BE49-F238E27FC236}">
              <a16:creationId xmlns:a16="http://schemas.microsoft.com/office/drawing/2014/main" id="{3A0F49CF-86BB-4C9D-B2E7-860BDDCC168B}"/>
            </a:ext>
          </a:extLst>
        </xdr:cNvPr>
        <xdr:cNvSpPr/>
      </xdr:nvSpPr>
      <xdr:spPr>
        <a:xfrm>
          <a:off x="301507" y="296060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293887</xdr:colOff>
      <xdr:row>14</xdr:row>
      <xdr:rowOff>156449</xdr:rowOff>
    </xdr:from>
    <xdr:to>
      <xdr:col>0</xdr:col>
      <xdr:colOff>373627</xdr:colOff>
      <xdr:row>15</xdr:row>
      <xdr:rowOff>59083</xdr:rowOff>
    </xdr:to>
    <xdr:sp macro="" textlink="">
      <xdr:nvSpPr>
        <xdr:cNvPr id="154" name="Flowchart: Connector 153">
          <a:extLst>
            <a:ext uri="{FF2B5EF4-FFF2-40B4-BE49-F238E27FC236}">
              <a16:creationId xmlns:a16="http://schemas.microsoft.com/office/drawing/2014/main" id="{1BC6A5C3-EF51-48B3-BCE1-CBBBD413E388}"/>
            </a:ext>
          </a:extLst>
        </xdr:cNvPr>
        <xdr:cNvSpPr/>
      </xdr:nvSpPr>
      <xdr:spPr>
        <a:xfrm>
          <a:off x="293887" y="26100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293887</xdr:colOff>
      <xdr:row>13</xdr:row>
      <xdr:rowOff>26909</xdr:rowOff>
    </xdr:from>
    <xdr:to>
      <xdr:col>0</xdr:col>
      <xdr:colOff>373627</xdr:colOff>
      <xdr:row>13</xdr:row>
      <xdr:rowOff>104803</xdr:rowOff>
    </xdr:to>
    <xdr:sp macro="" textlink="">
      <xdr:nvSpPr>
        <xdr:cNvPr id="155" name="Flowchart: Connector 154">
          <a:extLst>
            <a:ext uri="{FF2B5EF4-FFF2-40B4-BE49-F238E27FC236}">
              <a16:creationId xmlns:a16="http://schemas.microsoft.com/office/drawing/2014/main" id="{06B23FE4-0772-42F2-A5C3-17E683C59254}"/>
            </a:ext>
          </a:extLst>
        </xdr:cNvPr>
        <xdr:cNvSpPr/>
      </xdr:nvSpPr>
      <xdr:spPr>
        <a:xfrm>
          <a:off x="293887" y="2305289"/>
          <a:ext cx="79740" cy="77894"/>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304800</xdr:colOff>
      <xdr:row>0</xdr:row>
      <xdr:rowOff>114300</xdr:rowOff>
    </xdr:from>
    <xdr:to>
      <xdr:col>1</xdr:col>
      <xdr:colOff>502919</xdr:colOff>
      <xdr:row>5</xdr:row>
      <xdr:rowOff>30480</xdr:rowOff>
    </xdr:to>
    <xdr:pic>
      <xdr:nvPicPr>
        <xdr:cNvPr id="157" name="Picture 156">
          <a:extLst>
            <a:ext uri="{FF2B5EF4-FFF2-40B4-BE49-F238E27FC236}">
              <a16:creationId xmlns:a16="http://schemas.microsoft.com/office/drawing/2014/main" id="{5135604D-C764-AC23-6A5C-34EF26040C09}"/>
            </a:ext>
          </a:extLst>
        </xdr:cNvPr>
        <xdr:cNvPicPr>
          <a:picLocks noChangeAspect="1"/>
        </xdr:cNvPicPr>
      </xdr:nvPicPr>
      <xdr:blipFill>
        <a:blip xmlns:r="http://schemas.openxmlformats.org/officeDocument/2006/relationships" r:embed="rId13"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04800" y="114300"/>
          <a:ext cx="807719" cy="792480"/>
        </a:xfrm>
        <a:prstGeom prst="rect">
          <a:avLst/>
        </a:prstGeom>
      </xdr:spPr>
    </xdr:pic>
    <xdr:clientData/>
  </xdr:twoCellAnchor>
  <xdr:twoCellAnchor>
    <xdr:from>
      <xdr:col>1</xdr:col>
      <xdr:colOff>525780</xdr:colOff>
      <xdr:row>0</xdr:row>
      <xdr:rowOff>91440</xdr:rowOff>
    </xdr:from>
    <xdr:to>
      <xdr:col>2</xdr:col>
      <xdr:colOff>541020</xdr:colOff>
      <xdr:row>2</xdr:row>
      <xdr:rowOff>114300</xdr:rowOff>
    </xdr:to>
    <xdr:sp macro="" textlink="">
      <xdr:nvSpPr>
        <xdr:cNvPr id="160" name="TextBox 159">
          <a:extLst>
            <a:ext uri="{FF2B5EF4-FFF2-40B4-BE49-F238E27FC236}">
              <a16:creationId xmlns:a16="http://schemas.microsoft.com/office/drawing/2014/main" id="{C06644A7-0B0B-44A2-BDC7-10132538B32F}"/>
            </a:ext>
          </a:extLst>
        </xdr:cNvPr>
        <xdr:cNvSpPr txBox="1"/>
      </xdr:nvSpPr>
      <xdr:spPr>
        <a:xfrm>
          <a:off x="1135380" y="91440"/>
          <a:ext cx="6248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lumMod val="90000"/>
                </a:schemeClr>
              </a:solidFill>
              <a:latin typeface="Arial" panose="020B0604020202020204" pitchFamily="34" charset="0"/>
              <a:cs typeface="Arial" panose="020B0604020202020204" pitchFamily="34" charset="0"/>
            </a:rPr>
            <a:t>HR</a:t>
          </a:r>
        </a:p>
      </xdr:txBody>
    </xdr:sp>
    <xdr:clientData/>
  </xdr:twoCellAnchor>
  <xdr:twoCellAnchor>
    <xdr:from>
      <xdr:col>1</xdr:col>
      <xdr:colOff>499626</xdr:colOff>
      <xdr:row>2</xdr:row>
      <xdr:rowOff>57388</xdr:rowOff>
    </xdr:from>
    <xdr:to>
      <xdr:col>3</xdr:col>
      <xdr:colOff>541020</xdr:colOff>
      <xdr:row>3</xdr:row>
      <xdr:rowOff>160019</xdr:rowOff>
    </xdr:to>
    <xdr:sp macro="" textlink="">
      <xdr:nvSpPr>
        <xdr:cNvPr id="161" name="TextBox 160">
          <a:extLst>
            <a:ext uri="{FF2B5EF4-FFF2-40B4-BE49-F238E27FC236}">
              <a16:creationId xmlns:a16="http://schemas.microsoft.com/office/drawing/2014/main" id="{80BEB621-7601-4739-A914-64AC0646198F}"/>
            </a:ext>
          </a:extLst>
        </xdr:cNvPr>
        <xdr:cNvSpPr txBox="1"/>
      </xdr:nvSpPr>
      <xdr:spPr>
        <a:xfrm>
          <a:off x="1109226" y="407908"/>
          <a:ext cx="1260594" cy="277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2">
                  <a:lumMod val="90000"/>
                </a:schemeClr>
              </a:solidFill>
              <a:latin typeface="Arial" panose="020B0604020202020204" pitchFamily="34" charset="0"/>
              <a:cs typeface="Arial" panose="020B0604020202020204" pitchFamily="34" charset="0"/>
            </a:rPr>
            <a:t>Dashboard</a:t>
          </a:r>
        </a:p>
      </xdr:txBody>
    </xdr:sp>
    <xdr:clientData/>
  </xdr:twoCellAnchor>
  <xdr:twoCellAnchor>
    <xdr:from>
      <xdr:col>2</xdr:col>
      <xdr:colOff>301506</xdr:colOff>
      <xdr:row>0</xdr:row>
      <xdr:rowOff>164069</xdr:rowOff>
    </xdr:from>
    <xdr:to>
      <xdr:col>7</xdr:col>
      <xdr:colOff>144779</xdr:colOff>
      <xdr:row>2</xdr:row>
      <xdr:rowOff>15241</xdr:rowOff>
    </xdr:to>
    <xdr:sp macro="" textlink="">
      <xdr:nvSpPr>
        <xdr:cNvPr id="162" name="TextBox 161">
          <a:extLst>
            <a:ext uri="{FF2B5EF4-FFF2-40B4-BE49-F238E27FC236}">
              <a16:creationId xmlns:a16="http://schemas.microsoft.com/office/drawing/2014/main" id="{95A416AB-F78A-4D81-844A-24A39F68BCD7}"/>
            </a:ext>
          </a:extLst>
        </xdr:cNvPr>
        <xdr:cNvSpPr txBox="1"/>
      </xdr:nvSpPr>
      <xdr:spPr>
        <a:xfrm>
          <a:off x="1520706" y="164069"/>
          <a:ext cx="2891273" cy="20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bg2">
                <a:lumMod val="90000"/>
              </a:schemeClr>
            </a:solidFill>
            <a:latin typeface="Arial" panose="020B0604020202020204" pitchFamily="34" charset="0"/>
            <a:cs typeface="Arial" panose="020B0604020202020204" pitchFamily="34" charset="0"/>
          </a:endParaRPr>
        </a:p>
      </xdr:txBody>
    </xdr:sp>
    <xdr:clientData/>
  </xdr:twoCellAnchor>
  <xdr:twoCellAnchor editAs="oneCell">
    <xdr:from>
      <xdr:col>10</xdr:col>
      <xdr:colOff>571500</xdr:colOff>
      <xdr:row>1</xdr:row>
      <xdr:rowOff>62749</xdr:rowOff>
    </xdr:from>
    <xdr:to>
      <xdr:col>14</xdr:col>
      <xdr:colOff>274320</xdr:colOff>
      <xdr:row>5</xdr:row>
      <xdr:rowOff>76200</xdr:rowOff>
    </xdr:to>
    <mc:AlternateContent xmlns:mc="http://schemas.openxmlformats.org/markup-compatibility/2006" xmlns:a14="http://schemas.microsoft.com/office/drawing/2010/main">
      <mc:Choice Requires="a14">
        <xdr:graphicFrame macro="">
          <xdr:nvGraphicFramePr>
            <xdr:cNvPr id="168" name="Gender 1">
              <a:extLst>
                <a:ext uri="{FF2B5EF4-FFF2-40B4-BE49-F238E27FC236}">
                  <a16:creationId xmlns:a16="http://schemas.microsoft.com/office/drawing/2014/main" id="{66DD46EE-D219-43B0-A216-21EF679488D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650376" y="233985"/>
              <a:ext cx="2134371" cy="698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312421</xdr:colOff>
      <xdr:row>0</xdr:row>
      <xdr:rowOff>160022</xdr:rowOff>
    </xdr:from>
    <xdr:to>
      <xdr:col>10</xdr:col>
      <xdr:colOff>297181</xdr:colOff>
      <xdr:row>6</xdr:row>
      <xdr:rowOff>53340</xdr:rowOff>
    </xdr:to>
    <mc:AlternateContent xmlns:mc="http://schemas.openxmlformats.org/markup-compatibility/2006" xmlns:a14="http://schemas.microsoft.com/office/drawing/2010/main">
      <mc:Choice Requires="a14">
        <xdr:graphicFrame macro="">
          <xdr:nvGraphicFramePr>
            <xdr:cNvPr id="169" name="Department 1">
              <a:extLst>
                <a:ext uri="{FF2B5EF4-FFF2-40B4-BE49-F238E27FC236}">
                  <a16:creationId xmlns:a16="http://schemas.microsoft.com/office/drawing/2014/main" id="{1D408B93-8855-48CA-BAC4-66D1D0CBECA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959747" y="160022"/>
              <a:ext cx="2416310" cy="920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599173</xdr:colOff>
      <xdr:row>1</xdr:row>
      <xdr:rowOff>82858</xdr:rowOff>
    </xdr:from>
    <xdr:to>
      <xdr:col>13</xdr:col>
      <xdr:colOff>87854</xdr:colOff>
      <xdr:row>2</xdr:row>
      <xdr:rowOff>164503</xdr:rowOff>
    </xdr:to>
    <xdr:sp macro="" textlink="">
      <xdr:nvSpPr>
        <xdr:cNvPr id="167" name="TextBox 166">
          <a:extLst>
            <a:ext uri="{FF2B5EF4-FFF2-40B4-BE49-F238E27FC236}">
              <a16:creationId xmlns:a16="http://schemas.microsoft.com/office/drawing/2014/main" id="{0460A9A0-F369-4BA3-AFBD-DBC63351FE4A}"/>
            </a:ext>
          </a:extLst>
        </xdr:cNvPr>
        <xdr:cNvSpPr txBox="1"/>
      </xdr:nvSpPr>
      <xdr:spPr>
        <a:xfrm>
          <a:off x="6695173" y="258118"/>
          <a:ext cx="1317481" cy="256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90000"/>
                </a:schemeClr>
              </a:solidFill>
              <a:latin typeface="Arial" panose="020B0604020202020204" pitchFamily="34" charset="0"/>
              <a:cs typeface="Arial" panose="020B0604020202020204" pitchFamily="34" charset="0"/>
            </a:rPr>
            <a:t>Filter by Gender</a:t>
          </a:r>
        </a:p>
      </xdr:txBody>
    </xdr:sp>
    <xdr:clientData/>
  </xdr:twoCellAnchor>
  <xdr:twoCellAnchor>
    <xdr:from>
      <xdr:col>6</xdr:col>
      <xdr:colOff>343347</xdr:colOff>
      <xdr:row>1</xdr:row>
      <xdr:rowOff>34450</xdr:rowOff>
    </xdr:from>
    <xdr:to>
      <xdr:col>9</xdr:col>
      <xdr:colOff>155088</xdr:colOff>
      <xdr:row>2</xdr:row>
      <xdr:rowOff>120128</xdr:rowOff>
    </xdr:to>
    <xdr:sp macro="" textlink="">
      <xdr:nvSpPr>
        <xdr:cNvPr id="166" name="TextBox 165">
          <a:extLst>
            <a:ext uri="{FF2B5EF4-FFF2-40B4-BE49-F238E27FC236}">
              <a16:creationId xmlns:a16="http://schemas.microsoft.com/office/drawing/2014/main" id="{82EFCED0-5E1A-4EE2-AC11-9B97E659E88C}"/>
            </a:ext>
          </a:extLst>
        </xdr:cNvPr>
        <xdr:cNvSpPr txBox="1"/>
      </xdr:nvSpPr>
      <xdr:spPr>
        <a:xfrm>
          <a:off x="4000947" y="209710"/>
          <a:ext cx="1640541" cy="260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90000"/>
                </a:schemeClr>
              </a:solidFill>
              <a:latin typeface="Arial" panose="020B0604020202020204" pitchFamily="34" charset="0"/>
              <a:cs typeface="Arial" panose="020B0604020202020204" pitchFamily="34" charset="0"/>
            </a:rPr>
            <a:t>Filter</a:t>
          </a:r>
          <a:r>
            <a:rPr lang="en-IN" sz="1100" b="1" baseline="0">
              <a:solidFill>
                <a:schemeClr val="bg2">
                  <a:lumMod val="90000"/>
                </a:schemeClr>
              </a:solidFill>
              <a:latin typeface="Arial" panose="020B0604020202020204" pitchFamily="34" charset="0"/>
              <a:cs typeface="Arial" panose="020B0604020202020204" pitchFamily="34" charset="0"/>
            </a:rPr>
            <a:t> by department</a:t>
          </a:r>
          <a:endParaRPr lang="en-IN" sz="1100" b="1">
            <a:solidFill>
              <a:schemeClr val="bg2">
                <a:lumMod val="90000"/>
              </a:schemeClr>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676258333333" createdVersion="8" refreshedVersion="8" minRefreshableVersion="3" recordCount="50" xr:uid="{9B3E1B26-9681-4161-ABC7-21239F99B324}">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498015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D92DC-ED48-4E42-A9AF-765BF33D66B6}"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12">
    <format dxfId="1596">
      <pivotArea type="all" dataOnly="0" outline="0" fieldPosition="0"/>
    </format>
    <format dxfId="1597">
      <pivotArea outline="0" collapsedLevelsAreSubtotals="1" fieldPosition="0"/>
    </format>
    <format dxfId="1598">
      <pivotArea field="11" type="button" dataOnly="0" labelOnly="1" outline="0" axis="axisRow" fieldPosition="0"/>
    </format>
    <format dxfId="1599">
      <pivotArea dataOnly="0" labelOnly="1" fieldPosition="0">
        <references count="1">
          <reference field="11" count="0"/>
        </references>
      </pivotArea>
    </format>
    <format dxfId="1600">
      <pivotArea dataOnly="0" labelOnly="1" grandRow="1" outline="0" fieldPosition="0"/>
    </format>
    <format dxfId="1601">
      <pivotArea dataOnly="0" labelOnly="1" outline="0" axis="axisValues" fieldPosition="0"/>
    </format>
    <format dxfId="1602">
      <pivotArea type="all" dataOnly="0" outline="0" fieldPosition="0"/>
    </format>
    <format dxfId="1603">
      <pivotArea outline="0" collapsedLevelsAreSubtotals="1" fieldPosition="0"/>
    </format>
    <format dxfId="1604">
      <pivotArea field="11" type="button" dataOnly="0" labelOnly="1" outline="0" axis="axisRow" fieldPosition="0"/>
    </format>
    <format dxfId="1605">
      <pivotArea dataOnly="0" labelOnly="1" fieldPosition="0">
        <references count="1">
          <reference field="11" count="0"/>
        </references>
      </pivotArea>
    </format>
    <format dxfId="1606">
      <pivotArea dataOnly="0" labelOnly="1" grandRow="1" outline="0" fieldPosition="0"/>
    </format>
    <format dxfId="16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E5C40-AAB7-4708-8134-4A92D7BA5F56}"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3">
    <format dxfId="1670">
      <pivotArea collapsedLevelsAreSubtotals="1" fieldPosition="0">
        <references count="1">
          <reference field="7" count="0"/>
        </references>
      </pivotArea>
    </format>
    <format dxfId="1671">
      <pivotArea type="all" dataOnly="0" outline="0" fieldPosition="0"/>
    </format>
    <format dxfId="1672">
      <pivotArea outline="0" collapsedLevelsAreSubtotals="1" fieldPosition="0"/>
    </format>
    <format dxfId="1673">
      <pivotArea field="7" type="button" dataOnly="0" labelOnly="1" outline="0" axis="axisRow" fieldPosition="0"/>
    </format>
    <format dxfId="1674">
      <pivotArea dataOnly="0" labelOnly="1" fieldPosition="0">
        <references count="1">
          <reference field="7" count="0"/>
        </references>
      </pivotArea>
    </format>
    <format dxfId="1675">
      <pivotArea dataOnly="0" labelOnly="1" grandRow="1" outline="0" fieldPosition="0"/>
    </format>
    <format dxfId="1676">
      <pivotArea dataOnly="0" labelOnly="1" outline="0" axis="axisValues" fieldPosition="0"/>
    </format>
    <format dxfId="1677">
      <pivotArea type="all" dataOnly="0" outline="0" fieldPosition="0"/>
    </format>
    <format dxfId="1678">
      <pivotArea outline="0" collapsedLevelsAreSubtotals="1" fieldPosition="0"/>
    </format>
    <format dxfId="1679">
      <pivotArea field="7" type="button" dataOnly="0" labelOnly="1" outline="0" axis="axisRow" fieldPosition="0"/>
    </format>
    <format dxfId="1680">
      <pivotArea dataOnly="0" labelOnly="1" fieldPosition="0">
        <references count="1">
          <reference field="7" count="0"/>
        </references>
      </pivotArea>
    </format>
    <format dxfId="1681">
      <pivotArea dataOnly="0" labelOnly="1" grandRow="1" outline="0" fieldPosition="0"/>
    </format>
    <format dxfId="16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C7F42-43A1-457B-8907-5B9575F0D4F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10" baseItem="0"/>
  </dataFields>
  <formats count="12">
    <format dxfId="1658">
      <pivotArea type="all" dataOnly="0" outline="0" fieldPosition="0"/>
    </format>
    <format dxfId="1659">
      <pivotArea outline="0" collapsedLevelsAreSubtotals="1" fieldPosition="0"/>
    </format>
    <format dxfId="1660">
      <pivotArea field="10" type="button" dataOnly="0" labelOnly="1" outline="0" axis="axisRow" fieldPosition="0"/>
    </format>
    <format dxfId="1661">
      <pivotArea dataOnly="0" labelOnly="1" fieldPosition="0">
        <references count="1">
          <reference field="10" count="0"/>
        </references>
      </pivotArea>
    </format>
    <format dxfId="1662">
      <pivotArea dataOnly="0" labelOnly="1" grandRow="1" outline="0" fieldPosition="0"/>
    </format>
    <format dxfId="1663">
      <pivotArea dataOnly="0" labelOnly="1" outline="0" axis="axisValues" fieldPosition="0"/>
    </format>
    <format dxfId="1664">
      <pivotArea type="all" dataOnly="0" outline="0" fieldPosition="0"/>
    </format>
    <format dxfId="1665">
      <pivotArea outline="0" collapsedLevelsAreSubtotals="1" fieldPosition="0"/>
    </format>
    <format dxfId="1666">
      <pivotArea field="10" type="button" dataOnly="0" labelOnly="1" outline="0" axis="axisRow" fieldPosition="0"/>
    </format>
    <format dxfId="1667">
      <pivotArea dataOnly="0" labelOnly="1" fieldPosition="0">
        <references count="1">
          <reference field="10" count="0"/>
        </references>
      </pivotArea>
    </format>
    <format dxfId="1668">
      <pivotArea dataOnly="0" labelOnly="1" grandRow="1" outline="0" fieldPosition="0"/>
    </format>
    <format dxfId="16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33117-2C21-4523-A334-7A4F42E61B2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12">
    <format dxfId="1584">
      <pivotArea type="all" dataOnly="0" outline="0" fieldPosition="0"/>
    </format>
    <format dxfId="1585">
      <pivotArea outline="0" collapsedLevelsAreSubtotals="1" fieldPosition="0"/>
    </format>
    <format dxfId="1586">
      <pivotArea field="19" type="button" dataOnly="0" labelOnly="1" outline="0" axis="axisRow" fieldPosition="0"/>
    </format>
    <format dxfId="1587">
      <pivotArea dataOnly="0" labelOnly="1" fieldPosition="0">
        <references count="1">
          <reference field="19" count="0"/>
        </references>
      </pivotArea>
    </format>
    <format dxfId="1588">
      <pivotArea dataOnly="0" labelOnly="1" grandRow="1" outline="0" fieldPosition="0"/>
    </format>
    <format dxfId="1589">
      <pivotArea dataOnly="0" labelOnly="1" outline="0" axis="axisValues" fieldPosition="0"/>
    </format>
    <format dxfId="1590">
      <pivotArea type="all" dataOnly="0" outline="0" fieldPosition="0"/>
    </format>
    <format dxfId="1591">
      <pivotArea outline="0" collapsedLevelsAreSubtotals="1" fieldPosition="0"/>
    </format>
    <format dxfId="1592">
      <pivotArea field="19" type="button" dataOnly="0" labelOnly="1" outline="0" axis="axisRow" fieldPosition="0"/>
    </format>
    <format dxfId="1593">
      <pivotArea dataOnly="0" labelOnly="1" fieldPosition="0">
        <references count="1">
          <reference field="19" count="0"/>
        </references>
      </pivotArea>
    </format>
    <format dxfId="1594">
      <pivotArea dataOnly="0" labelOnly="1" grandRow="1" outline="0" fieldPosition="0"/>
    </format>
    <format dxfId="15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BB720-6B7E-4CA4-9D90-7B8509C69F2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W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18">
    <format dxfId="1640">
      <pivotArea type="all" dataOnly="0" outline="0" fieldPosition="0"/>
    </format>
    <format dxfId="1641">
      <pivotArea outline="0" collapsedLevelsAreSubtotals="1" fieldPosition="0"/>
    </format>
    <format dxfId="1642">
      <pivotArea field="5" type="button" dataOnly="0" labelOnly="1" outline="0" axis="axisRow" fieldPosition="0"/>
    </format>
    <format dxfId="1643">
      <pivotArea dataOnly="0" labelOnly="1" fieldPosition="0">
        <references count="1">
          <reference field="5" count="0"/>
        </references>
      </pivotArea>
    </format>
    <format dxfId="1644">
      <pivotArea dataOnly="0" labelOnly="1" grandRow="1" outline="0" fieldPosition="0"/>
    </format>
    <format dxfId="1645">
      <pivotArea dataOnly="0" labelOnly="1" outline="0" axis="axisValues" fieldPosition="0"/>
    </format>
    <format dxfId="1646">
      <pivotArea type="all" dataOnly="0" outline="0" fieldPosition="0"/>
    </format>
    <format dxfId="1647">
      <pivotArea outline="0" collapsedLevelsAreSubtotals="1" fieldPosition="0"/>
    </format>
    <format dxfId="1648">
      <pivotArea field="5" type="button" dataOnly="0" labelOnly="1" outline="0" axis="axisRow" fieldPosition="0"/>
    </format>
    <format dxfId="1649">
      <pivotArea dataOnly="0" labelOnly="1" fieldPosition="0">
        <references count="1">
          <reference field="5" count="0"/>
        </references>
      </pivotArea>
    </format>
    <format dxfId="1650">
      <pivotArea dataOnly="0" labelOnly="1" grandRow="1" outline="0" fieldPosition="0"/>
    </format>
    <format dxfId="1651">
      <pivotArea dataOnly="0" labelOnly="1" outline="0" axis="axisValues" fieldPosition="0"/>
    </format>
    <format dxfId="1652">
      <pivotArea type="all" dataOnly="0" outline="0" fieldPosition="0"/>
    </format>
    <format dxfId="1653">
      <pivotArea outline="0" collapsedLevelsAreSubtotals="1" fieldPosition="0"/>
    </format>
    <format dxfId="1654">
      <pivotArea field="5" type="button" dataOnly="0" labelOnly="1" outline="0" axis="axisRow" fieldPosition="0"/>
    </format>
    <format dxfId="1655">
      <pivotArea dataOnly="0" labelOnly="1" fieldPosition="0">
        <references count="1">
          <reference field="5" count="0"/>
        </references>
      </pivotArea>
    </format>
    <format dxfId="1656">
      <pivotArea dataOnly="0" labelOnly="1" grandRow="1" outline="0" fieldPosition="0"/>
    </format>
    <format dxfId="1657">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18893D-B12F-40C7-A82E-E4F59372C71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20">
    <format dxfId="1608">
      <pivotArea type="all" dataOnly="0" outline="0" fieldPosition="0"/>
    </format>
    <format dxfId="1609">
      <pivotArea outline="0" collapsedLevelsAreSubtotals="1" fieldPosition="0"/>
    </format>
    <format dxfId="1610">
      <pivotArea type="origin" dataOnly="0" labelOnly="1" outline="0" fieldPosition="0"/>
    </format>
    <format dxfId="1611">
      <pivotArea field="2" type="button" dataOnly="0" labelOnly="1" outline="0" axis="axisCol" fieldPosition="0"/>
    </format>
    <format dxfId="1612">
      <pivotArea type="topRight" dataOnly="0" labelOnly="1" outline="0" fieldPosition="0"/>
    </format>
    <format dxfId="1613">
      <pivotArea field="4" type="button" dataOnly="0" labelOnly="1" outline="0" axis="axisRow" fieldPosition="0"/>
    </format>
    <format dxfId="1614">
      <pivotArea dataOnly="0" labelOnly="1" fieldPosition="0">
        <references count="1">
          <reference field="4" count="0"/>
        </references>
      </pivotArea>
    </format>
    <format dxfId="1615">
      <pivotArea dataOnly="0" labelOnly="1" grandRow="1" outline="0" fieldPosition="0"/>
    </format>
    <format dxfId="1616">
      <pivotArea dataOnly="0" labelOnly="1" fieldPosition="0">
        <references count="1">
          <reference field="2" count="0"/>
        </references>
      </pivotArea>
    </format>
    <format dxfId="1617">
      <pivotArea dataOnly="0" labelOnly="1" grandCol="1" outline="0" fieldPosition="0"/>
    </format>
    <format dxfId="1618">
      <pivotArea type="all" dataOnly="0" outline="0" fieldPosition="0"/>
    </format>
    <format dxfId="1619">
      <pivotArea outline="0" collapsedLevelsAreSubtotals="1" fieldPosition="0"/>
    </format>
    <format dxfId="1620">
      <pivotArea type="origin" dataOnly="0" labelOnly="1" outline="0" fieldPosition="0"/>
    </format>
    <format dxfId="1621">
      <pivotArea field="2" type="button" dataOnly="0" labelOnly="1" outline="0" axis="axisCol" fieldPosition="0"/>
    </format>
    <format dxfId="1622">
      <pivotArea type="topRight" dataOnly="0" labelOnly="1" outline="0" fieldPosition="0"/>
    </format>
    <format dxfId="1623">
      <pivotArea field="4" type="button" dataOnly="0" labelOnly="1" outline="0" axis="axisRow" fieldPosition="0"/>
    </format>
    <format dxfId="1624">
      <pivotArea dataOnly="0" labelOnly="1" fieldPosition="0">
        <references count="1">
          <reference field="4" count="0"/>
        </references>
      </pivotArea>
    </format>
    <format dxfId="1625">
      <pivotArea dataOnly="0" labelOnly="1" grandRow="1" outline="0" fieldPosition="0"/>
    </format>
    <format dxfId="1626">
      <pivotArea dataOnly="0" labelOnly="1" fieldPosition="0">
        <references count="1">
          <reference field="2" count="0"/>
        </references>
      </pivotArea>
    </format>
    <format dxfId="1627">
      <pivotArea dataOnly="0" labelOnly="1" grandCol="1" outline="0"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8DA3AB-2FAE-4203-B650-9E838505C56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2">
    <format dxfId="1628">
      <pivotArea type="all" dataOnly="0" outline="0" fieldPosition="0"/>
    </format>
    <format dxfId="1629">
      <pivotArea outline="0" collapsedLevelsAreSubtotals="1" fieldPosition="0"/>
    </format>
    <format dxfId="1630">
      <pivotArea field="6" type="button" dataOnly="0" labelOnly="1" outline="0" axis="axisRow" fieldPosition="0"/>
    </format>
    <format dxfId="1631">
      <pivotArea dataOnly="0" labelOnly="1" fieldPosition="0">
        <references count="1">
          <reference field="6" count="0"/>
        </references>
      </pivotArea>
    </format>
    <format dxfId="1632">
      <pivotArea dataOnly="0" labelOnly="1" grandRow="1" outline="0" fieldPosition="0"/>
    </format>
    <format dxfId="1633">
      <pivotArea dataOnly="0" labelOnly="1" outline="0" axis="axisValues" fieldPosition="0"/>
    </format>
    <format dxfId="1634">
      <pivotArea type="all" dataOnly="0" outline="0" fieldPosition="0"/>
    </format>
    <format dxfId="1635">
      <pivotArea outline="0" collapsedLevelsAreSubtotals="1" fieldPosition="0"/>
    </format>
    <format dxfId="1636">
      <pivotArea field="6" type="button" dataOnly="0" labelOnly="1" outline="0" axis="axisRow" fieldPosition="0"/>
    </format>
    <format dxfId="1637">
      <pivotArea dataOnly="0" labelOnly="1" fieldPosition="0">
        <references count="1">
          <reference field="6" count="0"/>
        </references>
      </pivotArea>
    </format>
    <format dxfId="1638">
      <pivotArea dataOnly="0" labelOnly="1" grandRow="1" outline="0" fieldPosition="0"/>
    </format>
    <format dxfId="16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0B9CFFB-3128-4A3B-AD8E-2673F1FD83AD}" sourceName="Gender">
  <pivotTables>
    <pivotTable tabId="2" name="PivotTable5"/>
    <pivotTable tabId="2" name="PivotTable1"/>
    <pivotTable tabId="2" name="PivotTable12"/>
    <pivotTable tabId="2" name="PivotTable13"/>
    <pivotTable tabId="2" name="PivotTable2"/>
    <pivotTable tabId="2" name="PivotTable7"/>
    <pivotTable tabId="2" name="PivotTable8"/>
  </pivotTables>
  <data>
    <tabular pivotCacheId="498015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C3ED04E-6262-4681-B228-A2905C3DCDF4}" sourceName="Department">
  <pivotTables>
    <pivotTable tabId="2" name="PivotTable13"/>
    <pivotTable tabId="2" name="PivotTable1"/>
    <pivotTable tabId="2" name="PivotTable12"/>
    <pivotTable tabId="2" name="PivotTable2"/>
    <pivotTable tabId="2" name="PivotTable5"/>
    <pivotTable tabId="2" name="PivotTable7"/>
    <pivotTable tabId="2" name="PivotTable8"/>
  </pivotTables>
  <data>
    <tabular pivotCacheId="498015246">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EBDBEE0-6012-470C-BD44-F3770BCB7334}" cache="Slicer_Gender1" caption="Gender" columnCount="2" style="Slicer Style 3" rowHeight="247650"/>
  <slicer name="Department 1" xr10:uid="{845AE612-461F-4AF2-8897-27B9C8B4CFC7}" cache="Slicer_Department1" caption="Department" columnCount="2"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705" dataDxfId="1704">
  <autoFilter ref="A1:U51" xr:uid="{BD7F130C-4931-4EC9-8AE2-A64F6556D3A3}"/>
  <tableColumns count="21">
    <tableColumn id="1" xr3:uid="{6BDBB43D-1DF4-4FF3-9C56-0E3D699A83FC}" name="Employee ID" dataDxfId="1703"/>
    <tableColumn id="2" xr3:uid="{363D91B7-21AD-4B4B-86DE-95D24769EAA5}" name="Full Name" dataDxfId="1702"/>
    <tableColumn id="3" xr3:uid="{728245EC-9766-45F5-9851-7FEFEFBE2652}" name="Gender" dataDxfId="1701"/>
    <tableColumn id="4" xr3:uid="{DD8A90D1-163F-4B0E-A039-9E7A16AFC106}" name="Age" dataDxfId="1700"/>
    <tableColumn id="5" xr3:uid="{0672993B-A00D-49AE-84B7-674089468A17}" name="Age range" dataDxfId="1699"/>
    <tableColumn id="6" xr3:uid="{B1ADEE80-60F1-4EE3-B3FB-8484EE6C17B3}" name="Region" dataDxfId="1698"/>
    <tableColumn id="7" xr3:uid="{8E0A56EE-3456-4513-ADA0-27F6CAA8C17B}" name="Job Title" dataDxfId="1697"/>
    <tableColumn id="8" xr3:uid="{0D9D5DB9-01CB-4300-B0CD-256901621ADC}" name="Department" dataDxfId="1696"/>
    <tableColumn id="9" xr3:uid="{9EBDAC3F-6A39-4A78-B562-848691EE3AD1}" name="Manager/Supervisor" dataDxfId="1695"/>
    <tableColumn id="10" xr3:uid="{AF849F24-150A-4123-B3F8-A46B4D4F7BC6}" name="Date of Hire" dataDxfId="1694"/>
    <tableColumn id="11" xr3:uid="{8C57202E-334A-462A-9C44-E5E2468122E4}" name="Employment Status" dataDxfId="1693"/>
    <tableColumn id="12" xr3:uid="{8A07812C-245C-4D55-A210-3AE7E0BB84EB}" name="Work Location" dataDxfId="1692"/>
    <tableColumn id="13" xr3:uid="{6441036C-01DD-4130-8E4B-DBA441BCB744}" name="Salary" dataDxfId="1691"/>
    <tableColumn id="14" xr3:uid="{ADCF531A-A98E-422C-939D-04D58C2423FB}" name="Pay Grade" dataDxfId="1690"/>
    <tableColumn id="15" xr3:uid="{DE922695-AE31-4F31-8F89-61E6E7E646AB}" name="Bonus/Allowances" dataDxfId="1689"/>
    <tableColumn id="16" xr3:uid="{62F2B816-9954-4A01-AEDC-4C13B3A2A52F}" name="Insurance Details" dataDxfId="1688"/>
    <tableColumn id="17" xr3:uid="{6EFEC335-9B75-45D5-B403-A8A9E557BE24}" name="Leave Taken" dataDxfId="1687"/>
    <tableColumn id="18" xr3:uid="{9DA1B78E-154E-42E4-A1BC-FE1CF363DCBA}" name="Performance Rating" dataDxfId="1686"/>
    <tableColumn id="19" xr3:uid="{7E4B5E79-5639-4E3A-91A1-D1D8767BB705}" name="Training Programs Attended" dataDxfId="1685"/>
    <tableColumn id="20" xr3:uid="{2E731344-8C6D-4001-9E36-F16B80500F61}" name="Skills" dataDxfId="1684"/>
    <tableColumn id="21" xr3:uid="{9DCE550B-F788-4423-B330-CAB70C041DFC}" name="Certifications" dataDxfId="168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D54" sqref="D54"/>
    </sheetView>
  </sheetViews>
  <sheetFormatPr defaultColWidth="9.109375" defaultRowHeight="13.8"/>
  <cols>
    <col min="1" max="1" width="17.6640625" style="1" bestFit="1" customWidth="1"/>
    <col min="2" max="2" width="18.109375" style="1" bestFit="1" customWidth="1"/>
    <col min="3" max="3" width="12.88671875" style="1" bestFit="1" customWidth="1"/>
    <col min="4" max="4" width="9.5546875" style="1" bestFit="1" customWidth="1"/>
    <col min="5" max="5" width="15.88671875" style="1" bestFit="1" customWidth="1"/>
    <col min="6" max="6" width="12.33203125" style="1" bestFit="1" customWidth="1"/>
    <col min="7" max="7" width="14.109375" style="1" bestFit="1" customWidth="1"/>
    <col min="8" max="8" width="17.44140625" style="1" bestFit="1" customWidth="1"/>
    <col min="9" max="9" width="25.6640625" style="1" bestFit="1" customWidth="1"/>
    <col min="10" max="10" width="18" style="1" bestFit="1" customWidth="1"/>
    <col min="11" max="11" width="25" style="1" bestFit="1" customWidth="1"/>
    <col min="12" max="12" width="20.33203125" style="1" bestFit="1" customWidth="1"/>
    <col min="13" max="13" width="11.88671875" style="1" bestFit="1" customWidth="1"/>
    <col min="14" max="14" width="16.109375" style="1" bestFit="1" customWidth="1"/>
    <col min="15" max="15" width="24" style="1" bestFit="1" customWidth="1"/>
    <col min="16" max="16" width="22.6640625" style="1" bestFit="1" customWidth="1"/>
    <col min="17" max="17" width="18.109375" style="1" bestFit="1" customWidth="1"/>
    <col min="18" max="18" width="25.44140625" style="1" bestFit="1" customWidth="1"/>
    <col min="19" max="19" width="34" style="1" bestFit="1" customWidth="1"/>
    <col min="20" max="20" width="16" style="1" bestFit="1" customWidth="1"/>
    <col min="21" max="21" width="21.109375" style="1" bestFit="1" customWidth="1"/>
    <col min="22" max="16384" width="9.109375" style="1"/>
  </cols>
  <sheetData>
    <row r="1" spans="1:2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4">
        <v>4294</v>
      </c>
      <c r="B2" s="4" t="s">
        <v>21</v>
      </c>
      <c r="C2" s="4" t="s">
        <v>22</v>
      </c>
      <c r="D2" s="4">
        <v>25</v>
      </c>
      <c r="E2" s="4" t="s">
        <v>23</v>
      </c>
      <c r="F2" s="4" t="s">
        <v>24</v>
      </c>
      <c r="G2" s="4" t="s">
        <v>25</v>
      </c>
      <c r="H2" s="4" t="s">
        <v>26</v>
      </c>
      <c r="I2" s="4" t="s">
        <v>27</v>
      </c>
      <c r="J2" s="4" t="s">
        <v>28</v>
      </c>
      <c r="K2" s="4" t="s">
        <v>29</v>
      </c>
      <c r="L2" s="4" t="s">
        <v>30</v>
      </c>
      <c r="M2" s="4">
        <v>53700</v>
      </c>
      <c r="N2" s="4" t="s">
        <v>31</v>
      </c>
      <c r="O2" s="4">
        <v>1463</v>
      </c>
      <c r="P2" s="4" t="s">
        <v>32</v>
      </c>
      <c r="Q2" s="4">
        <v>1</v>
      </c>
      <c r="R2" s="4">
        <v>1</v>
      </c>
      <c r="S2" s="4" t="s">
        <v>33</v>
      </c>
      <c r="T2" s="4" t="s">
        <v>34</v>
      </c>
      <c r="U2" s="4" t="s">
        <v>35</v>
      </c>
    </row>
    <row r="3" spans="1:21">
      <c r="A3" s="4">
        <v>9116</v>
      </c>
      <c r="B3" s="4" t="s">
        <v>36</v>
      </c>
      <c r="C3" s="4" t="s">
        <v>37</v>
      </c>
      <c r="D3" s="4">
        <v>27</v>
      </c>
      <c r="E3" s="4" t="s">
        <v>38</v>
      </c>
      <c r="F3" s="4" t="s">
        <v>39</v>
      </c>
      <c r="G3" s="4" t="s">
        <v>40</v>
      </c>
      <c r="H3" s="4" t="s">
        <v>41</v>
      </c>
      <c r="I3" s="4" t="s">
        <v>42</v>
      </c>
      <c r="J3" s="4" t="s">
        <v>43</v>
      </c>
      <c r="K3" s="4" t="s">
        <v>29</v>
      </c>
      <c r="L3" s="4" t="s">
        <v>44</v>
      </c>
      <c r="M3" s="4">
        <v>91091</v>
      </c>
      <c r="N3" s="4" t="s">
        <v>45</v>
      </c>
      <c r="O3" s="4">
        <v>1024</v>
      </c>
      <c r="P3" s="4" t="s">
        <v>46</v>
      </c>
      <c r="Q3" s="4">
        <v>19</v>
      </c>
      <c r="R3" s="4">
        <v>4</v>
      </c>
      <c r="S3" s="4" t="s">
        <v>47</v>
      </c>
      <c r="T3" s="4" t="s">
        <v>34</v>
      </c>
      <c r="U3" s="4" t="s">
        <v>35</v>
      </c>
    </row>
    <row r="4" spans="1:21">
      <c r="A4" s="4">
        <v>5120</v>
      </c>
      <c r="B4" s="4" t="s">
        <v>48</v>
      </c>
      <c r="C4" s="4" t="s">
        <v>37</v>
      </c>
      <c r="D4" s="4">
        <v>34</v>
      </c>
      <c r="E4" s="4" t="s">
        <v>38</v>
      </c>
      <c r="F4" s="4" t="s">
        <v>49</v>
      </c>
      <c r="G4" s="4" t="s">
        <v>50</v>
      </c>
      <c r="H4" s="4" t="s">
        <v>51</v>
      </c>
      <c r="I4" s="4" t="s">
        <v>52</v>
      </c>
      <c r="J4" s="4" t="s">
        <v>53</v>
      </c>
      <c r="K4" s="4" t="s">
        <v>29</v>
      </c>
      <c r="L4" s="4" t="s">
        <v>54</v>
      </c>
      <c r="M4" s="4">
        <v>57538</v>
      </c>
      <c r="N4" s="4" t="s">
        <v>55</v>
      </c>
      <c r="O4" s="4">
        <v>1674</v>
      </c>
      <c r="P4" s="4" t="s">
        <v>46</v>
      </c>
      <c r="Q4" s="4">
        <v>8</v>
      </c>
      <c r="R4" s="4">
        <v>1</v>
      </c>
      <c r="S4" s="4" t="s">
        <v>46</v>
      </c>
      <c r="T4" s="4" t="s">
        <v>56</v>
      </c>
      <c r="U4" s="4" t="s">
        <v>57</v>
      </c>
    </row>
    <row r="5" spans="1:21">
      <c r="A5" s="4">
        <v>8071</v>
      </c>
      <c r="B5" s="4" t="s">
        <v>58</v>
      </c>
      <c r="C5" s="4" t="s">
        <v>22</v>
      </c>
      <c r="D5" s="4">
        <v>41</v>
      </c>
      <c r="E5" s="4" t="s">
        <v>59</v>
      </c>
      <c r="F5" s="4" t="s">
        <v>49</v>
      </c>
      <c r="G5" s="4" t="s">
        <v>25</v>
      </c>
      <c r="H5" s="4" t="s">
        <v>60</v>
      </c>
      <c r="I5" s="4" t="s">
        <v>61</v>
      </c>
      <c r="J5" s="4" t="s">
        <v>62</v>
      </c>
      <c r="K5" s="4" t="s">
        <v>63</v>
      </c>
      <c r="L5" s="4" t="s">
        <v>30</v>
      </c>
      <c r="M5" s="4">
        <v>62993</v>
      </c>
      <c r="N5" s="4" t="s">
        <v>64</v>
      </c>
      <c r="O5" s="4">
        <v>2695</v>
      </c>
      <c r="P5" s="4" t="s">
        <v>65</v>
      </c>
      <c r="Q5" s="4">
        <v>0</v>
      </c>
      <c r="R5" s="4">
        <v>2</v>
      </c>
      <c r="S5" s="4" t="s">
        <v>46</v>
      </c>
      <c r="T5" s="4" t="s">
        <v>66</v>
      </c>
      <c r="U5" s="4" t="s">
        <v>46</v>
      </c>
    </row>
    <row r="6" spans="1:21">
      <c r="A6" s="4">
        <v>9351</v>
      </c>
      <c r="B6" s="4" t="s">
        <v>67</v>
      </c>
      <c r="C6" s="4" t="s">
        <v>37</v>
      </c>
      <c r="D6" s="4">
        <v>56</v>
      </c>
      <c r="E6" s="4" t="s">
        <v>68</v>
      </c>
      <c r="F6" s="4" t="s">
        <v>24</v>
      </c>
      <c r="G6" s="4" t="s">
        <v>25</v>
      </c>
      <c r="H6" s="4" t="s">
        <v>51</v>
      </c>
      <c r="I6" s="4" t="s">
        <v>69</v>
      </c>
      <c r="J6" s="4" t="s">
        <v>70</v>
      </c>
      <c r="K6" s="4" t="s">
        <v>63</v>
      </c>
      <c r="L6" s="4" t="s">
        <v>44</v>
      </c>
      <c r="M6" s="4">
        <v>45773</v>
      </c>
      <c r="N6" s="4" t="s">
        <v>64</v>
      </c>
      <c r="O6" s="4">
        <v>8776</v>
      </c>
      <c r="P6" s="4" t="s">
        <v>32</v>
      </c>
      <c r="Q6" s="4">
        <v>16</v>
      </c>
      <c r="R6" s="4">
        <v>4</v>
      </c>
      <c r="S6" s="4" t="s">
        <v>33</v>
      </c>
      <c r="T6" s="4" t="s">
        <v>66</v>
      </c>
      <c r="U6" s="4" t="s">
        <v>46</v>
      </c>
    </row>
    <row r="7" spans="1:21">
      <c r="A7" s="4">
        <v>2873</v>
      </c>
      <c r="B7" s="4" t="s">
        <v>71</v>
      </c>
      <c r="C7" s="4" t="s">
        <v>22</v>
      </c>
      <c r="D7" s="4">
        <v>28</v>
      </c>
      <c r="E7" s="4" t="s">
        <v>38</v>
      </c>
      <c r="F7" s="4" t="s">
        <v>49</v>
      </c>
      <c r="G7" s="4" t="s">
        <v>72</v>
      </c>
      <c r="H7" s="4" t="s">
        <v>51</v>
      </c>
      <c r="I7" s="4" t="s">
        <v>73</v>
      </c>
      <c r="J7" s="4" t="s">
        <v>74</v>
      </c>
      <c r="K7" s="4" t="s">
        <v>29</v>
      </c>
      <c r="L7" s="4" t="s">
        <v>44</v>
      </c>
      <c r="M7" s="4">
        <v>96249</v>
      </c>
      <c r="N7" s="4" t="s">
        <v>31</v>
      </c>
      <c r="O7" s="4">
        <v>4826</v>
      </c>
      <c r="P7" s="4" t="s">
        <v>65</v>
      </c>
      <c r="Q7" s="4">
        <v>7</v>
      </c>
      <c r="R7" s="4">
        <v>3</v>
      </c>
      <c r="S7" s="4" t="s">
        <v>33</v>
      </c>
      <c r="T7" s="4" t="s">
        <v>75</v>
      </c>
      <c r="U7" s="4" t="s">
        <v>35</v>
      </c>
    </row>
    <row r="8" spans="1:21">
      <c r="A8" s="4">
        <v>3540</v>
      </c>
      <c r="B8" s="4" t="s">
        <v>76</v>
      </c>
      <c r="C8" s="4" t="s">
        <v>22</v>
      </c>
      <c r="D8" s="4">
        <v>20</v>
      </c>
      <c r="E8" s="4" t="s">
        <v>23</v>
      </c>
      <c r="F8" s="4" t="s">
        <v>39</v>
      </c>
      <c r="G8" s="4" t="s">
        <v>50</v>
      </c>
      <c r="H8" s="4" t="s">
        <v>51</v>
      </c>
      <c r="I8" s="4" t="s">
        <v>77</v>
      </c>
      <c r="J8" s="4" t="s">
        <v>78</v>
      </c>
      <c r="K8" s="4" t="s">
        <v>29</v>
      </c>
      <c r="L8" s="4" t="s">
        <v>54</v>
      </c>
      <c r="M8" s="4">
        <v>61596</v>
      </c>
      <c r="N8" s="4" t="s">
        <v>31</v>
      </c>
      <c r="O8" s="4">
        <v>8818</v>
      </c>
      <c r="P8" s="4" t="s">
        <v>65</v>
      </c>
      <c r="Q8" s="4">
        <v>4</v>
      </c>
      <c r="R8" s="4">
        <v>2</v>
      </c>
      <c r="S8" s="4" t="s">
        <v>33</v>
      </c>
      <c r="T8" s="4" t="s">
        <v>56</v>
      </c>
      <c r="U8" s="4" t="s">
        <v>46</v>
      </c>
    </row>
    <row r="9" spans="1:21">
      <c r="A9" s="4">
        <v>3653</v>
      </c>
      <c r="B9" s="4" t="s">
        <v>79</v>
      </c>
      <c r="C9" s="4" t="s">
        <v>22</v>
      </c>
      <c r="D9" s="4">
        <v>58</v>
      </c>
      <c r="E9" s="4" t="s">
        <v>68</v>
      </c>
      <c r="F9" s="4" t="s">
        <v>80</v>
      </c>
      <c r="G9" s="4" t="s">
        <v>40</v>
      </c>
      <c r="H9" s="4" t="s">
        <v>81</v>
      </c>
      <c r="I9" s="4" t="s">
        <v>82</v>
      </c>
      <c r="J9" s="4" t="s">
        <v>83</v>
      </c>
      <c r="K9" s="4" t="s">
        <v>29</v>
      </c>
      <c r="L9" s="4" t="s">
        <v>54</v>
      </c>
      <c r="M9" s="4">
        <v>97869</v>
      </c>
      <c r="N9" s="4" t="s">
        <v>64</v>
      </c>
      <c r="O9" s="4">
        <v>1966</v>
      </c>
      <c r="P9" s="4" t="s">
        <v>32</v>
      </c>
      <c r="Q9" s="4">
        <v>10</v>
      </c>
      <c r="R9" s="4">
        <v>1</v>
      </c>
      <c r="S9" s="4" t="s">
        <v>33</v>
      </c>
      <c r="T9" s="4" t="s">
        <v>34</v>
      </c>
      <c r="U9" s="4" t="s">
        <v>35</v>
      </c>
    </row>
    <row r="10" spans="1:21">
      <c r="A10" s="4">
        <v>5587</v>
      </c>
      <c r="B10" s="4" t="s">
        <v>84</v>
      </c>
      <c r="C10" s="4" t="s">
        <v>22</v>
      </c>
      <c r="D10" s="4">
        <v>44</v>
      </c>
      <c r="E10" s="4" t="s">
        <v>59</v>
      </c>
      <c r="F10" s="4" t="s">
        <v>80</v>
      </c>
      <c r="G10" s="4" t="s">
        <v>50</v>
      </c>
      <c r="H10" s="4" t="s">
        <v>51</v>
      </c>
      <c r="I10" s="4" t="s">
        <v>85</v>
      </c>
      <c r="J10" s="4" t="s">
        <v>86</v>
      </c>
      <c r="K10" s="4" t="s">
        <v>29</v>
      </c>
      <c r="L10" s="4" t="s">
        <v>30</v>
      </c>
      <c r="M10" s="4">
        <v>81235</v>
      </c>
      <c r="N10" s="4" t="s">
        <v>64</v>
      </c>
      <c r="O10" s="4">
        <v>6553</v>
      </c>
      <c r="P10" s="4" t="s">
        <v>46</v>
      </c>
      <c r="Q10" s="4">
        <v>16</v>
      </c>
      <c r="R10" s="4">
        <v>2</v>
      </c>
      <c r="S10" s="4" t="s">
        <v>46</v>
      </c>
      <c r="T10" s="4" t="s">
        <v>56</v>
      </c>
      <c r="U10" s="4" t="s">
        <v>35</v>
      </c>
    </row>
    <row r="11" spans="1:21">
      <c r="A11" s="4">
        <v>9554</v>
      </c>
      <c r="B11" s="4" t="s">
        <v>87</v>
      </c>
      <c r="C11" s="4" t="s">
        <v>22</v>
      </c>
      <c r="D11" s="4">
        <v>29</v>
      </c>
      <c r="E11" s="4" t="s">
        <v>38</v>
      </c>
      <c r="F11" s="4" t="s">
        <v>39</v>
      </c>
      <c r="G11" s="4" t="s">
        <v>50</v>
      </c>
      <c r="H11" s="4" t="s">
        <v>60</v>
      </c>
      <c r="I11" s="4" t="s">
        <v>88</v>
      </c>
      <c r="J11" s="4" t="s">
        <v>89</v>
      </c>
      <c r="K11" s="4" t="s">
        <v>29</v>
      </c>
      <c r="L11" s="4" t="s">
        <v>44</v>
      </c>
      <c r="M11" s="4">
        <v>87852</v>
      </c>
      <c r="N11" s="4" t="s">
        <v>64</v>
      </c>
      <c r="O11" s="4">
        <v>4980</v>
      </c>
      <c r="P11" s="4" t="s">
        <v>65</v>
      </c>
      <c r="Q11" s="4">
        <v>19</v>
      </c>
      <c r="R11" s="4">
        <v>3</v>
      </c>
      <c r="S11" s="4" t="s">
        <v>46</v>
      </c>
      <c r="T11" s="4" t="s">
        <v>66</v>
      </c>
      <c r="U11" s="4" t="s">
        <v>35</v>
      </c>
    </row>
    <row r="12" spans="1:21">
      <c r="A12" s="4">
        <v>6213</v>
      </c>
      <c r="B12" s="4" t="s">
        <v>90</v>
      </c>
      <c r="C12" s="4" t="s">
        <v>37</v>
      </c>
      <c r="D12" s="4">
        <v>23</v>
      </c>
      <c r="E12" s="4" t="s">
        <v>23</v>
      </c>
      <c r="F12" s="4" t="s">
        <v>80</v>
      </c>
      <c r="G12" s="4" t="s">
        <v>25</v>
      </c>
      <c r="H12" s="4" t="s">
        <v>51</v>
      </c>
      <c r="I12" s="4" t="s">
        <v>91</v>
      </c>
      <c r="J12" s="4" t="s">
        <v>92</v>
      </c>
      <c r="K12" s="4" t="s">
        <v>63</v>
      </c>
      <c r="L12" s="4" t="s">
        <v>44</v>
      </c>
      <c r="M12" s="4">
        <v>59359</v>
      </c>
      <c r="N12" s="4" t="s">
        <v>64</v>
      </c>
      <c r="O12" s="4">
        <v>9449</v>
      </c>
      <c r="P12" s="4" t="s">
        <v>65</v>
      </c>
      <c r="Q12" s="4">
        <v>20</v>
      </c>
      <c r="R12" s="4">
        <v>3</v>
      </c>
      <c r="S12" s="4" t="s">
        <v>46</v>
      </c>
      <c r="T12" s="4" t="s">
        <v>56</v>
      </c>
      <c r="U12" s="4" t="s">
        <v>46</v>
      </c>
    </row>
    <row r="13" spans="1:21">
      <c r="A13" s="4">
        <v>9105</v>
      </c>
      <c r="B13" s="4" t="s">
        <v>93</v>
      </c>
      <c r="C13" s="4" t="s">
        <v>37</v>
      </c>
      <c r="D13" s="4">
        <v>30</v>
      </c>
      <c r="E13" s="4" t="s">
        <v>38</v>
      </c>
      <c r="F13" s="4" t="s">
        <v>24</v>
      </c>
      <c r="G13" s="4" t="s">
        <v>40</v>
      </c>
      <c r="H13" s="4" t="s">
        <v>26</v>
      </c>
      <c r="I13" s="4" t="s">
        <v>94</v>
      </c>
      <c r="J13" s="4" t="s">
        <v>95</v>
      </c>
      <c r="K13" s="4" t="s">
        <v>63</v>
      </c>
      <c r="L13" s="4" t="s">
        <v>54</v>
      </c>
      <c r="M13" s="4">
        <v>81225</v>
      </c>
      <c r="N13" s="4" t="s">
        <v>55</v>
      </c>
      <c r="O13" s="4">
        <v>6202</v>
      </c>
      <c r="P13" s="4" t="s">
        <v>65</v>
      </c>
      <c r="Q13" s="4">
        <v>2</v>
      </c>
      <c r="R13" s="4">
        <v>2</v>
      </c>
      <c r="S13" s="4" t="s">
        <v>47</v>
      </c>
      <c r="T13" s="4" t="s">
        <v>96</v>
      </c>
      <c r="U13" s="4" t="s">
        <v>35</v>
      </c>
    </row>
    <row r="14" spans="1:21">
      <c r="A14" s="4">
        <v>9508</v>
      </c>
      <c r="B14" s="4" t="s">
        <v>97</v>
      </c>
      <c r="C14" s="4" t="s">
        <v>22</v>
      </c>
      <c r="D14" s="4">
        <v>49</v>
      </c>
      <c r="E14" s="4" t="s">
        <v>98</v>
      </c>
      <c r="F14" s="4" t="s">
        <v>39</v>
      </c>
      <c r="G14" s="4" t="s">
        <v>25</v>
      </c>
      <c r="H14" s="4" t="s">
        <v>26</v>
      </c>
      <c r="I14" s="4" t="s">
        <v>99</v>
      </c>
      <c r="J14" s="4" t="s">
        <v>100</v>
      </c>
      <c r="K14" s="4" t="s">
        <v>63</v>
      </c>
      <c r="L14" s="4" t="s">
        <v>30</v>
      </c>
      <c r="M14" s="4">
        <v>32788</v>
      </c>
      <c r="N14" s="4" t="s">
        <v>55</v>
      </c>
      <c r="O14" s="4">
        <v>4396</v>
      </c>
      <c r="P14" s="4" t="s">
        <v>32</v>
      </c>
      <c r="Q14" s="4">
        <v>13</v>
      </c>
      <c r="R14" s="4">
        <v>5</v>
      </c>
      <c r="S14" s="4" t="s">
        <v>46</v>
      </c>
      <c r="T14" s="4" t="s">
        <v>75</v>
      </c>
      <c r="U14" s="4" t="s">
        <v>57</v>
      </c>
    </row>
    <row r="15" spans="1:21">
      <c r="A15" s="4">
        <v>2436</v>
      </c>
      <c r="B15" s="4" t="s">
        <v>101</v>
      </c>
      <c r="C15" s="4" t="s">
        <v>37</v>
      </c>
      <c r="D15" s="4">
        <v>60</v>
      </c>
      <c r="E15" s="4" t="s">
        <v>68</v>
      </c>
      <c r="F15" s="4" t="s">
        <v>102</v>
      </c>
      <c r="G15" s="4" t="s">
        <v>25</v>
      </c>
      <c r="H15" s="4" t="s">
        <v>60</v>
      </c>
      <c r="I15" s="4" t="s">
        <v>103</v>
      </c>
      <c r="J15" s="4" t="s">
        <v>104</v>
      </c>
      <c r="K15" s="4" t="s">
        <v>63</v>
      </c>
      <c r="L15" s="4" t="s">
        <v>54</v>
      </c>
      <c r="M15" s="4">
        <v>70452</v>
      </c>
      <c r="N15" s="4" t="s">
        <v>55</v>
      </c>
      <c r="O15" s="4">
        <v>9911</v>
      </c>
      <c r="P15" s="4" t="s">
        <v>46</v>
      </c>
      <c r="Q15" s="4">
        <v>2</v>
      </c>
      <c r="R15" s="4">
        <v>1</v>
      </c>
      <c r="S15" s="4" t="s">
        <v>46</v>
      </c>
      <c r="T15" s="4" t="s">
        <v>75</v>
      </c>
      <c r="U15" s="4" t="s">
        <v>35</v>
      </c>
    </row>
    <row r="16" spans="1:21">
      <c r="A16" s="4">
        <v>4441</v>
      </c>
      <c r="B16" s="4" t="s">
        <v>105</v>
      </c>
      <c r="C16" s="4" t="s">
        <v>37</v>
      </c>
      <c r="D16" s="4">
        <v>46</v>
      </c>
      <c r="E16" s="4" t="s">
        <v>98</v>
      </c>
      <c r="F16" s="4" t="s">
        <v>39</v>
      </c>
      <c r="G16" s="4" t="s">
        <v>72</v>
      </c>
      <c r="H16" s="4" t="s">
        <v>26</v>
      </c>
      <c r="I16" s="4" t="s">
        <v>106</v>
      </c>
      <c r="J16" s="4" t="s">
        <v>107</v>
      </c>
      <c r="K16" s="4" t="s">
        <v>29</v>
      </c>
      <c r="L16" s="4" t="s">
        <v>44</v>
      </c>
      <c r="M16" s="4">
        <v>33045</v>
      </c>
      <c r="N16" s="4" t="s">
        <v>45</v>
      </c>
      <c r="O16" s="4">
        <v>1456</v>
      </c>
      <c r="P16" s="4" t="s">
        <v>46</v>
      </c>
      <c r="Q16" s="4">
        <v>16</v>
      </c>
      <c r="R16" s="4">
        <v>3</v>
      </c>
      <c r="S16" s="4" t="s">
        <v>47</v>
      </c>
      <c r="T16" s="4" t="s">
        <v>75</v>
      </c>
      <c r="U16" s="4" t="s">
        <v>46</v>
      </c>
    </row>
    <row r="17" spans="1:21">
      <c r="A17" s="4">
        <v>5827</v>
      </c>
      <c r="B17" s="4" t="s">
        <v>108</v>
      </c>
      <c r="C17" s="4" t="s">
        <v>37</v>
      </c>
      <c r="D17" s="4">
        <v>57</v>
      </c>
      <c r="E17" s="4" t="s">
        <v>68</v>
      </c>
      <c r="F17" s="4" t="s">
        <v>49</v>
      </c>
      <c r="G17" s="4" t="s">
        <v>72</v>
      </c>
      <c r="H17" s="4" t="s">
        <v>41</v>
      </c>
      <c r="I17" s="4" t="s">
        <v>109</v>
      </c>
      <c r="J17" s="4" t="s">
        <v>110</v>
      </c>
      <c r="K17" s="4" t="s">
        <v>111</v>
      </c>
      <c r="L17" s="4" t="s">
        <v>54</v>
      </c>
      <c r="M17" s="4">
        <v>96429</v>
      </c>
      <c r="N17" s="4" t="s">
        <v>31</v>
      </c>
      <c r="O17" s="4">
        <v>4740</v>
      </c>
      <c r="P17" s="4" t="s">
        <v>46</v>
      </c>
      <c r="Q17" s="4">
        <v>8</v>
      </c>
      <c r="R17" s="4">
        <v>1</v>
      </c>
      <c r="S17" s="4" t="s">
        <v>47</v>
      </c>
      <c r="T17" s="4" t="s">
        <v>66</v>
      </c>
      <c r="U17" s="4" t="s">
        <v>46</v>
      </c>
    </row>
    <row r="18" spans="1:21">
      <c r="A18" s="4">
        <v>5184</v>
      </c>
      <c r="B18" s="4" t="s">
        <v>112</v>
      </c>
      <c r="C18" s="4" t="s">
        <v>22</v>
      </c>
      <c r="D18" s="4">
        <v>24</v>
      </c>
      <c r="E18" s="4" t="s">
        <v>23</v>
      </c>
      <c r="F18" s="4" t="s">
        <v>39</v>
      </c>
      <c r="G18" s="4" t="s">
        <v>50</v>
      </c>
      <c r="H18" s="4" t="s">
        <v>51</v>
      </c>
      <c r="I18" s="4" t="s">
        <v>113</v>
      </c>
      <c r="J18" s="4" t="s">
        <v>114</v>
      </c>
      <c r="K18" s="4" t="s">
        <v>111</v>
      </c>
      <c r="L18" s="4" t="s">
        <v>54</v>
      </c>
      <c r="M18" s="4">
        <v>33183</v>
      </c>
      <c r="N18" s="4" t="s">
        <v>64</v>
      </c>
      <c r="O18" s="4">
        <v>8114</v>
      </c>
      <c r="P18" s="4" t="s">
        <v>46</v>
      </c>
      <c r="Q18" s="4">
        <v>4</v>
      </c>
      <c r="R18" s="4">
        <v>2</v>
      </c>
      <c r="S18" s="4" t="s">
        <v>47</v>
      </c>
      <c r="T18" s="4" t="s">
        <v>96</v>
      </c>
      <c r="U18" s="4" t="s">
        <v>57</v>
      </c>
    </row>
    <row r="19" spans="1:21">
      <c r="A19" s="4">
        <v>5874</v>
      </c>
      <c r="B19" s="4" t="s">
        <v>58</v>
      </c>
      <c r="C19" s="4" t="s">
        <v>22</v>
      </c>
      <c r="D19" s="4">
        <v>35</v>
      </c>
      <c r="E19" s="4" t="s">
        <v>38</v>
      </c>
      <c r="F19" s="4" t="s">
        <v>102</v>
      </c>
      <c r="G19" s="4" t="s">
        <v>72</v>
      </c>
      <c r="H19" s="4" t="s">
        <v>26</v>
      </c>
      <c r="I19" s="4" t="s">
        <v>115</v>
      </c>
      <c r="J19" s="4" t="s">
        <v>116</v>
      </c>
      <c r="K19" s="4" t="s">
        <v>111</v>
      </c>
      <c r="L19" s="4" t="s">
        <v>30</v>
      </c>
      <c r="M19" s="4">
        <v>75065</v>
      </c>
      <c r="N19" s="4" t="s">
        <v>31</v>
      </c>
      <c r="O19" s="4">
        <v>7123</v>
      </c>
      <c r="P19" s="4" t="s">
        <v>46</v>
      </c>
      <c r="Q19" s="4">
        <v>20</v>
      </c>
      <c r="R19" s="4">
        <v>2</v>
      </c>
      <c r="S19" s="4" t="s">
        <v>46</v>
      </c>
      <c r="T19" s="4" t="s">
        <v>34</v>
      </c>
      <c r="U19" s="4" t="s">
        <v>57</v>
      </c>
    </row>
    <row r="20" spans="1:21">
      <c r="A20" s="4">
        <v>9834</v>
      </c>
      <c r="B20" s="4" t="s">
        <v>117</v>
      </c>
      <c r="C20" s="4" t="s">
        <v>37</v>
      </c>
      <c r="D20" s="4">
        <v>41</v>
      </c>
      <c r="E20" s="4" t="s">
        <v>59</v>
      </c>
      <c r="F20" s="4" t="s">
        <v>39</v>
      </c>
      <c r="G20" s="4" t="s">
        <v>40</v>
      </c>
      <c r="H20" s="4" t="s">
        <v>81</v>
      </c>
      <c r="I20" s="4" t="s">
        <v>118</v>
      </c>
      <c r="J20" s="4" t="s">
        <v>119</v>
      </c>
      <c r="K20" s="4" t="s">
        <v>29</v>
      </c>
      <c r="L20" s="4" t="s">
        <v>54</v>
      </c>
      <c r="M20" s="4">
        <v>32877</v>
      </c>
      <c r="N20" s="4" t="s">
        <v>31</v>
      </c>
      <c r="O20" s="4">
        <v>6432</v>
      </c>
      <c r="P20" s="4" t="s">
        <v>32</v>
      </c>
      <c r="Q20" s="4">
        <v>11</v>
      </c>
      <c r="R20" s="4">
        <v>1</v>
      </c>
      <c r="S20" s="4" t="s">
        <v>46</v>
      </c>
      <c r="T20" s="4" t="s">
        <v>34</v>
      </c>
      <c r="U20" s="4" t="s">
        <v>46</v>
      </c>
    </row>
    <row r="21" spans="1:21">
      <c r="A21" s="4">
        <v>5096</v>
      </c>
      <c r="B21" s="4" t="s">
        <v>120</v>
      </c>
      <c r="C21" s="4" t="s">
        <v>37</v>
      </c>
      <c r="D21" s="4">
        <v>36</v>
      </c>
      <c r="E21" s="4" t="s">
        <v>59</v>
      </c>
      <c r="F21" s="4" t="s">
        <v>39</v>
      </c>
      <c r="G21" s="4" t="s">
        <v>121</v>
      </c>
      <c r="H21" s="4" t="s">
        <v>60</v>
      </c>
      <c r="I21" s="4" t="s">
        <v>122</v>
      </c>
      <c r="J21" s="4" t="s">
        <v>123</v>
      </c>
      <c r="K21" s="4" t="s">
        <v>29</v>
      </c>
      <c r="L21" s="4" t="s">
        <v>44</v>
      </c>
      <c r="M21" s="4">
        <v>46811</v>
      </c>
      <c r="N21" s="4" t="s">
        <v>55</v>
      </c>
      <c r="O21" s="4">
        <v>1567</v>
      </c>
      <c r="P21" s="4" t="s">
        <v>46</v>
      </c>
      <c r="Q21" s="4">
        <v>7</v>
      </c>
      <c r="R21" s="4">
        <v>3</v>
      </c>
      <c r="S21" s="4" t="s">
        <v>47</v>
      </c>
      <c r="T21" s="4" t="s">
        <v>34</v>
      </c>
      <c r="U21" s="4" t="s">
        <v>57</v>
      </c>
    </row>
    <row r="22" spans="1:21">
      <c r="A22" s="4">
        <v>2263</v>
      </c>
      <c r="B22" s="4" t="s">
        <v>124</v>
      </c>
      <c r="C22" s="4" t="s">
        <v>37</v>
      </c>
      <c r="D22" s="4">
        <v>31</v>
      </c>
      <c r="E22" s="4" t="s">
        <v>38</v>
      </c>
      <c r="F22" s="4" t="s">
        <v>80</v>
      </c>
      <c r="G22" s="4" t="s">
        <v>50</v>
      </c>
      <c r="H22" s="4" t="s">
        <v>41</v>
      </c>
      <c r="I22" s="4" t="s">
        <v>125</v>
      </c>
      <c r="J22" s="4" t="s">
        <v>126</v>
      </c>
      <c r="K22" s="4" t="s">
        <v>63</v>
      </c>
      <c r="L22" s="4" t="s">
        <v>44</v>
      </c>
      <c r="M22" s="4">
        <v>87538</v>
      </c>
      <c r="N22" s="4" t="s">
        <v>31</v>
      </c>
      <c r="O22" s="4">
        <v>3588</v>
      </c>
      <c r="P22" s="4" t="s">
        <v>65</v>
      </c>
      <c r="Q22" s="4">
        <v>11</v>
      </c>
      <c r="R22" s="4">
        <v>5</v>
      </c>
      <c r="S22" s="4" t="s">
        <v>47</v>
      </c>
      <c r="T22" s="4" t="s">
        <v>66</v>
      </c>
      <c r="U22" s="4" t="s">
        <v>46</v>
      </c>
    </row>
    <row r="23" spans="1:21">
      <c r="A23" s="4">
        <v>6505</v>
      </c>
      <c r="B23" s="4" t="s">
        <v>127</v>
      </c>
      <c r="C23" s="4" t="s">
        <v>22</v>
      </c>
      <c r="D23" s="4">
        <v>28</v>
      </c>
      <c r="E23" s="4" t="s">
        <v>38</v>
      </c>
      <c r="F23" s="4" t="s">
        <v>24</v>
      </c>
      <c r="G23" s="4" t="s">
        <v>40</v>
      </c>
      <c r="H23" s="4" t="s">
        <v>81</v>
      </c>
      <c r="I23" s="4" t="s">
        <v>128</v>
      </c>
      <c r="J23" s="4" t="s">
        <v>129</v>
      </c>
      <c r="K23" s="4" t="s">
        <v>29</v>
      </c>
      <c r="L23" s="4" t="s">
        <v>44</v>
      </c>
      <c r="M23" s="4">
        <v>73002</v>
      </c>
      <c r="N23" s="4" t="s">
        <v>31</v>
      </c>
      <c r="O23" s="4">
        <v>6296</v>
      </c>
      <c r="P23" s="4" t="s">
        <v>32</v>
      </c>
      <c r="Q23" s="4">
        <v>2</v>
      </c>
      <c r="R23" s="4">
        <v>5</v>
      </c>
      <c r="S23" s="4" t="s">
        <v>47</v>
      </c>
      <c r="T23" s="4" t="s">
        <v>56</v>
      </c>
      <c r="U23" s="4" t="s">
        <v>35</v>
      </c>
    </row>
    <row r="24" spans="1:21">
      <c r="A24" s="4">
        <v>8626</v>
      </c>
      <c r="B24" s="4" t="s">
        <v>130</v>
      </c>
      <c r="C24" s="4" t="s">
        <v>37</v>
      </c>
      <c r="D24" s="4">
        <v>37</v>
      </c>
      <c r="E24" s="4" t="s">
        <v>59</v>
      </c>
      <c r="F24" s="4" t="s">
        <v>80</v>
      </c>
      <c r="G24" s="4" t="s">
        <v>40</v>
      </c>
      <c r="H24" s="4" t="s">
        <v>60</v>
      </c>
      <c r="I24" s="4" t="s">
        <v>131</v>
      </c>
      <c r="J24" s="4" t="s">
        <v>132</v>
      </c>
      <c r="K24" s="4" t="s">
        <v>111</v>
      </c>
      <c r="L24" s="4" t="s">
        <v>54</v>
      </c>
      <c r="M24" s="4">
        <v>41653</v>
      </c>
      <c r="N24" s="4" t="s">
        <v>55</v>
      </c>
      <c r="O24" s="4">
        <v>9236</v>
      </c>
      <c r="P24" s="4" t="s">
        <v>46</v>
      </c>
      <c r="Q24" s="4">
        <v>13</v>
      </c>
      <c r="R24" s="4">
        <v>1</v>
      </c>
      <c r="S24" s="4" t="s">
        <v>47</v>
      </c>
      <c r="T24" s="4" t="s">
        <v>34</v>
      </c>
      <c r="U24" s="4" t="s">
        <v>46</v>
      </c>
    </row>
    <row r="25" spans="1:21">
      <c r="A25" s="4">
        <v>5979</v>
      </c>
      <c r="B25" s="4" t="s">
        <v>133</v>
      </c>
      <c r="C25" s="4" t="s">
        <v>22</v>
      </c>
      <c r="D25" s="4">
        <v>31</v>
      </c>
      <c r="E25" s="4" t="s">
        <v>38</v>
      </c>
      <c r="F25" s="4" t="s">
        <v>24</v>
      </c>
      <c r="G25" s="4" t="s">
        <v>25</v>
      </c>
      <c r="H25" s="4" t="s">
        <v>51</v>
      </c>
      <c r="I25" s="4" t="s">
        <v>134</v>
      </c>
      <c r="J25" s="4" t="s">
        <v>135</v>
      </c>
      <c r="K25" s="4" t="s">
        <v>63</v>
      </c>
      <c r="L25" s="4" t="s">
        <v>44</v>
      </c>
      <c r="M25" s="4">
        <v>67582</v>
      </c>
      <c r="N25" s="4" t="s">
        <v>64</v>
      </c>
      <c r="O25" s="4">
        <v>1375</v>
      </c>
      <c r="P25" s="4" t="s">
        <v>32</v>
      </c>
      <c r="Q25" s="4">
        <v>20</v>
      </c>
      <c r="R25" s="4">
        <v>3</v>
      </c>
      <c r="S25" s="4" t="s">
        <v>47</v>
      </c>
      <c r="T25" s="4" t="s">
        <v>56</v>
      </c>
      <c r="U25" s="4" t="s">
        <v>46</v>
      </c>
    </row>
    <row r="26" spans="1:21">
      <c r="A26" s="4">
        <v>3104</v>
      </c>
      <c r="B26" s="4" t="s">
        <v>136</v>
      </c>
      <c r="C26" s="4" t="s">
        <v>22</v>
      </c>
      <c r="D26" s="4">
        <v>23</v>
      </c>
      <c r="E26" s="4" t="s">
        <v>23</v>
      </c>
      <c r="F26" s="4" t="s">
        <v>80</v>
      </c>
      <c r="G26" s="4" t="s">
        <v>40</v>
      </c>
      <c r="H26" s="4" t="s">
        <v>41</v>
      </c>
      <c r="I26" s="4" t="s">
        <v>137</v>
      </c>
      <c r="J26" s="4" t="s">
        <v>138</v>
      </c>
      <c r="K26" s="4" t="s">
        <v>111</v>
      </c>
      <c r="L26" s="4" t="s">
        <v>44</v>
      </c>
      <c r="M26" s="4">
        <v>37351</v>
      </c>
      <c r="N26" s="4" t="s">
        <v>55</v>
      </c>
      <c r="O26" s="4">
        <v>7858</v>
      </c>
      <c r="P26" s="4" t="s">
        <v>65</v>
      </c>
      <c r="Q26" s="4">
        <v>18</v>
      </c>
      <c r="R26" s="4">
        <v>2</v>
      </c>
      <c r="S26" s="4" t="s">
        <v>33</v>
      </c>
      <c r="T26" s="4" t="s">
        <v>56</v>
      </c>
      <c r="U26" s="4" t="s">
        <v>57</v>
      </c>
    </row>
    <row r="27" spans="1:21">
      <c r="A27" s="4">
        <v>8967</v>
      </c>
      <c r="B27" s="4" t="s">
        <v>139</v>
      </c>
      <c r="C27" s="4" t="s">
        <v>22</v>
      </c>
      <c r="D27" s="4">
        <v>48</v>
      </c>
      <c r="E27" s="4" t="s">
        <v>98</v>
      </c>
      <c r="F27" s="4" t="s">
        <v>102</v>
      </c>
      <c r="G27" s="4" t="s">
        <v>50</v>
      </c>
      <c r="H27" s="4" t="s">
        <v>26</v>
      </c>
      <c r="I27" s="4" t="s">
        <v>140</v>
      </c>
      <c r="J27" s="4" t="s">
        <v>141</v>
      </c>
      <c r="K27" s="4" t="s">
        <v>29</v>
      </c>
      <c r="L27" s="4" t="s">
        <v>44</v>
      </c>
      <c r="M27" s="4">
        <v>36721</v>
      </c>
      <c r="N27" s="4" t="s">
        <v>45</v>
      </c>
      <c r="O27" s="4">
        <v>8820</v>
      </c>
      <c r="P27" s="4" t="s">
        <v>65</v>
      </c>
      <c r="Q27" s="4">
        <v>0</v>
      </c>
      <c r="R27" s="4">
        <v>2</v>
      </c>
      <c r="S27" s="4" t="s">
        <v>47</v>
      </c>
      <c r="T27" s="4" t="s">
        <v>56</v>
      </c>
      <c r="U27" s="4" t="s">
        <v>35</v>
      </c>
    </row>
    <row r="28" spans="1:21">
      <c r="A28" s="4">
        <v>5087</v>
      </c>
      <c r="B28" s="4" t="s">
        <v>142</v>
      </c>
      <c r="C28" s="4" t="s">
        <v>37</v>
      </c>
      <c r="D28" s="4">
        <v>28</v>
      </c>
      <c r="E28" s="4" t="s">
        <v>38</v>
      </c>
      <c r="F28" s="4" t="s">
        <v>49</v>
      </c>
      <c r="G28" s="4" t="s">
        <v>121</v>
      </c>
      <c r="H28" s="4" t="s">
        <v>26</v>
      </c>
      <c r="I28" s="4" t="s">
        <v>143</v>
      </c>
      <c r="J28" s="4" t="s">
        <v>144</v>
      </c>
      <c r="K28" s="4" t="s">
        <v>63</v>
      </c>
      <c r="L28" s="4" t="s">
        <v>54</v>
      </c>
      <c r="M28" s="4">
        <v>46326</v>
      </c>
      <c r="N28" s="4" t="s">
        <v>45</v>
      </c>
      <c r="O28" s="4">
        <v>9189</v>
      </c>
      <c r="P28" s="4" t="s">
        <v>65</v>
      </c>
      <c r="Q28" s="4">
        <v>8</v>
      </c>
      <c r="R28" s="4">
        <v>4</v>
      </c>
      <c r="S28" s="4" t="s">
        <v>33</v>
      </c>
      <c r="T28" s="4" t="s">
        <v>75</v>
      </c>
      <c r="U28" s="4" t="s">
        <v>57</v>
      </c>
    </row>
    <row r="29" spans="1:21">
      <c r="A29" s="4">
        <v>3358</v>
      </c>
      <c r="B29" s="4" t="s">
        <v>145</v>
      </c>
      <c r="C29" s="4" t="s">
        <v>37</v>
      </c>
      <c r="D29" s="4">
        <v>30</v>
      </c>
      <c r="E29" s="4" t="s">
        <v>38</v>
      </c>
      <c r="F29" s="4" t="s">
        <v>39</v>
      </c>
      <c r="G29" s="4" t="s">
        <v>72</v>
      </c>
      <c r="H29" s="4" t="s">
        <v>41</v>
      </c>
      <c r="I29" s="4" t="s">
        <v>146</v>
      </c>
      <c r="J29" s="4" t="s">
        <v>147</v>
      </c>
      <c r="K29" s="4" t="s">
        <v>29</v>
      </c>
      <c r="L29" s="4" t="s">
        <v>30</v>
      </c>
      <c r="M29" s="4">
        <v>59007</v>
      </c>
      <c r="N29" s="4" t="s">
        <v>31</v>
      </c>
      <c r="O29" s="4">
        <v>3380</v>
      </c>
      <c r="P29" s="4" t="s">
        <v>32</v>
      </c>
      <c r="Q29" s="4">
        <v>17</v>
      </c>
      <c r="R29" s="4">
        <v>3</v>
      </c>
      <c r="S29" s="4" t="s">
        <v>46</v>
      </c>
      <c r="T29" s="4" t="s">
        <v>96</v>
      </c>
      <c r="U29" s="4" t="s">
        <v>35</v>
      </c>
    </row>
    <row r="30" spans="1:21">
      <c r="A30" s="4">
        <v>8256</v>
      </c>
      <c r="B30" s="4" t="s">
        <v>148</v>
      </c>
      <c r="C30" s="4" t="s">
        <v>37</v>
      </c>
      <c r="D30" s="4">
        <v>46</v>
      </c>
      <c r="E30" s="4" t="s">
        <v>98</v>
      </c>
      <c r="F30" s="4" t="s">
        <v>80</v>
      </c>
      <c r="G30" s="4" t="s">
        <v>25</v>
      </c>
      <c r="H30" s="4" t="s">
        <v>60</v>
      </c>
      <c r="I30" s="4" t="s">
        <v>149</v>
      </c>
      <c r="J30" s="4" t="s">
        <v>150</v>
      </c>
      <c r="K30" s="4" t="s">
        <v>29</v>
      </c>
      <c r="L30" s="4" t="s">
        <v>44</v>
      </c>
      <c r="M30" s="4">
        <v>52020</v>
      </c>
      <c r="N30" s="4" t="s">
        <v>45</v>
      </c>
      <c r="O30" s="4">
        <v>9585</v>
      </c>
      <c r="P30" s="4" t="s">
        <v>65</v>
      </c>
      <c r="Q30" s="4">
        <v>0</v>
      </c>
      <c r="R30" s="4">
        <v>4</v>
      </c>
      <c r="S30" s="4" t="s">
        <v>47</v>
      </c>
      <c r="T30" s="4" t="s">
        <v>96</v>
      </c>
      <c r="U30" s="4" t="s">
        <v>46</v>
      </c>
    </row>
    <row r="31" spans="1:21">
      <c r="A31" s="4">
        <v>5763</v>
      </c>
      <c r="B31" s="4" t="s">
        <v>151</v>
      </c>
      <c r="C31" s="4" t="s">
        <v>37</v>
      </c>
      <c r="D31" s="4">
        <v>44</v>
      </c>
      <c r="E31" s="4" t="s">
        <v>59</v>
      </c>
      <c r="F31" s="4" t="s">
        <v>39</v>
      </c>
      <c r="G31" s="4" t="s">
        <v>50</v>
      </c>
      <c r="H31" s="4" t="s">
        <v>41</v>
      </c>
      <c r="I31" s="4" t="s">
        <v>152</v>
      </c>
      <c r="J31" s="4" t="s">
        <v>153</v>
      </c>
      <c r="K31" s="4" t="s">
        <v>111</v>
      </c>
      <c r="L31" s="4" t="s">
        <v>44</v>
      </c>
      <c r="M31" s="4">
        <v>98961</v>
      </c>
      <c r="N31" s="4" t="s">
        <v>55</v>
      </c>
      <c r="O31" s="4">
        <v>2688</v>
      </c>
      <c r="P31" s="4" t="s">
        <v>32</v>
      </c>
      <c r="Q31" s="4">
        <v>2</v>
      </c>
      <c r="R31" s="4">
        <v>5</v>
      </c>
      <c r="S31" s="4" t="s">
        <v>47</v>
      </c>
      <c r="T31" s="4" t="s">
        <v>96</v>
      </c>
      <c r="U31" s="4" t="s">
        <v>35</v>
      </c>
    </row>
    <row r="32" spans="1:21">
      <c r="A32" s="4">
        <v>6838</v>
      </c>
      <c r="B32" s="4" t="s">
        <v>154</v>
      </c>
      <c r="C32" s="4" t="s">
        <v>37</v>
      </c>
      <c r="D32" s="4">
        <v>45</v>
      </c>
      <c r="E32" s="4" t="s">
        <v>59</v>
      </c>
      <c r="F32" s="4" t="s">
        <v>49</v>
      </c>
      <c r="G32" s="4" t="s">
        <v>72</v>
      </c>
      <c r="H32" s="4" t="s">
        <v>51</v>
      </c>
      <c r="I32" s="4" t="s">
        <v>155</v>
      </c>
      <c r="J32" s="4" t="s">
        <v>156</v>
      </c>
      <c r="K32" s="4" t="s">
        <v>111</v>
      </c>
      <c r="L32" s="4" t="s">
        <v>44</v>
      </c>
      <c r="M32" s="4">
        <v>81943</v>
      </c>
      <c r="N32" s="4" t="s">
        <v>31</v>
      </c>
      <c r="O32" s="4">
        <v>2255</v>
      </c>
      <c r="P32" s="4" t="s">
        <v>32</v>
      </c>
      <c r="Q32" s="4">
        <v>18</v>
      </c>
      <c r="R32" s="4">
        <v>2</v>
      </c>
      <c r="S32" s="4" t="s">
        <v>46</v>
      </c>
      <c r="T32" s="4" t="s">
        <v>66</v>
      </c>
      <c r="U32" s="4" t="s">
        <v>35</v>
      </c>
    </row>
    <row r="33" spans="1:21">
      <c r="A33" s="4">
        <v>9544</v>
      </c>
      <c r="B33" s="4" t="s">
        <v>157</v>
      </c>
      <c r="C33" s="4" t="s">
        <v>37</v>
      </c>
      <c r="D33" s="4">
        <v>52</v>
      </c>
      <c r="E33" s="4" t="s">
        <v>98</v>
      </c>
      <c r="F33" s="4" t="s">
        <v>102</v>
      </c>
      <c r="G33" s="4" t="s">
        <v>50</v>
      </c>
      <c r="H33" s="4" t="s">
        <v>41</v>
      </c>
      <c r="I33" s="4" t="s">
        <v>158</v>
      </c>
      <c r="J33" s="4" t="s">
        <v>159</v>
      </c>
      <c r="K33" s="4" t="s">
        <v>111</v>
      </c>
      <c r="L33" s="4" t="s">
        <v>44</v>
      </c>
      <c r="M33" s="4">
        <v>47627</v>
      </c>
      <c r="N33" s="4" t="s">
        <v>31</v>
      </c>
      <c r="O33" s="4">
        <v>1221</v>
      </c>
      <c r="P33" s="4" t="s">
        <v>46</v>
      </c>
      <c r="Q33" s="4">
        <v>4</v>
      </c>
      <c r="R33" s="4">
        <v>3</v>
      </c>
      <c r="S33" s="4" t="s">
        <v>46</v>
      </c>
      <c r="T33" s="4" t="s">
        <v>56</v>
      </c>
      <c r="U33" s="4" t="s">
        <v>46</v>
      </c>
    </row>
    <row r="34" spans="1:21">
      <c r="A34" s="4">
        <v>8012</v>
      </c>
      <c r="B34" s="4" t="s">
        <v>160</v>
      </c>
      <c r="C34" s="4" t="s">
        <v>22</v>
      </c>
      <c r="D34" s="4">
        <v>52</v>
      </c>
      <c r="E34" s="4" t="s">
        <v>98</v>
      </c>
      <c r="F34" s="4" t="s">
        <v>24</v>
      </c>
      <c r="G34" s="4" t="s">
        <v>25</v>
      </c>
      <c r="H34" s="4" t="s">
        <v>81</v>
      </c>
      <c r="I34" s="4" t="s">
        <v>161</v>
      </c>
      <c r="J34" s="4" t="s">
        <v>162</v>
      </c>
      <c r="K34" s="4" t="s">
        <v>111</v>
      </c>
      <c r="L34" s="4" t="s">
        <v>44</v>
      </c>
      <c r="M34" s="4">
        <v>56162</v>
      </c>
      <c r="N34" s="4" t="s">
        <v>55</v>
      </c>
      <c r="O34" s="4">
        <v>6560</v>
      </c>
      <c r="P34" s="4" t="s">
        <v>65</v>
      </c>
      <c r="Q34" s="4">
        <v>9</v>
      </c>
      <c r="R34" s="4">
        <v>4</v>
      </c>
      <c r="S34" s="4" t="s">
        <v>47</v>
      </c>
      <c r="T34" s="4" t="s">
        <v>75</v>
      </c>
      <c r="U34" s="4" t="s">
        <v>46</v>
      </c>
    </row>
    <row r="35" spans="1:21">
      <c r="A35" s="4">
        <v>9374</v>
      </c>
      <c r="B35" s="4" t="s">
        <v>163</v>
      </c>
      <c r="C35" s="4" t="s">
        <v>22</v>
      </c>
      <c r="D35" s="4">
        <v>42</v>
      </c>
      <c r="E35" s="4" t="s">
        <v>59</v>
      </c>
      <c r="F35" s="4" t="s">
        <v>39</v>
      </c>
      <c r="G35" s="4" t="s">
        <v>50</v>
      </c>
      <c r="H35" s="4" t="s">
        <v>51</v>
      </c>
      <c r="I35" s="4" t="s">
        <v>164</v>
      </c>
      <c r="J35" s="4" t="s">
        <v>165</v>
      </c>
      <c r="K35" s="4" t="s">
        <v>63</v>
      </c>
      <c r="L35" s="4" t="s">
        <v>54</v>
      </c>
      <c r="M35" s="4">
        <v>95734</v>
      </c>
      <c r="N35" s="4" t="s">
        <v>31</v>
      </c>
      <c r="O35" s="4">
        <v>4854</v>
      </c>
      <c r="P35" s="4" t="s">
        <v>32</v>
      </c>
      <c r="Q35" s="4">
        <v>13</v>
      </c>
      <c r="R35" s="4">
        <v>2</v>
      </c>
      <c r="S35" s="4" t="s">
        <v>33</v>
      </c>
      <c r="T35" s="4" t="s">
        <v>34</v>
      </c>
      <c r="U35" s="4" t="s">
        <v>35</v>
      </c>
    </row>
    <row r="36" spans="1:21">
      <c r="A36" s="4">
        <v>3487</v>
      </c>
      <c r="B36" s="4" t="s">
        <v>166</v>
      </c>
      <c r="C36" s="4" t="s">
        <v>37</v>
      </c>
      <c r="D36" s="4">
        <v>58</v>
      </c>
      <c r="E36" s="4" t="s">
        <v>68</v>
      </c>
      <c r="F36" s="4" t="s">
        <v>39</v>
      </c>
      <c r="G36" s="4" t="s">
        <v>40</v>
      </c>
      <c r="H36" s="4" t="s">
        <v>60</v>
      </c>
      <c r="I36" s="4" t="s">
        <v>167</v>
      </c>
      <c r="J36" s="4" t="s">
        <v>168</v>
      </c>
      <c r="K36" s="4" t="s">
        <v>63</v>
      </c>
      <c r="L36" s="4" t="s">
        <v>54</v>
      </c>
      <c r="M36" s="4">
        <v>74789</v>
      </c>
      <c r="N36" s="4" t="s">
        <v>31</v>
      </c>
      <c r="O36" s="4">
        <v>8101</v>
      </c>
      <c r="P36" s="4" t="s">
        <v>65</v>
      </c>
      <c r="Q36" s="4">
        <v>14</v>
      </c>
      <c r="R36" s="4">
        <v>5</v>
      </c>
      <c r="S36" s="4" t="s">
        <v>47</v>
      </c>
      <c r="T36" s="4" t="s">
        <v>66</v>
      </c>
      <c r="U36" s="4" t="s">
        <v>46</v>
      </c>
    </row>
    <row r="37" spans="1:21">
      <c r="A37" s="4">
        <v>8445</v>
      </c>
      <c r="B37" s="4" t="s">
        <v>169</v>
      </c>
      <c r="C37" s="4" t="s">
        <v>22</v>
      </c>
      <c r="D37" s="4">
        <v>24</v>
      </c>
      <c r="E37" s="4" t="s">
        <v>23</v>
      </c>
      <c r="F37" s="4" t="s">
        <v>102</v>
      </c>
      <c r="G37" s="4" t="s">
        <v>25</v>
      </c>
      <c r="H37" s="4" t="s">
        <v>60</v>
      </c>
      <c r="I37" s="4" t="s">
        <v>170</v>
      </c>
      <c r="J37" s="4" t="s">
        <v>171</v>
      </c>
      <c r="K37" s="4" t="s">
        <v>29</v>
      </c>
      <c r="L37" s="4" t="s">
        <v>54</v>
      </c>
      <c r="M37" s="4">
        <v>30137</v>
      </c>
      <c r="N37" s="4" t="s">
        <v>45</v>
      </c>
      <c r="O37" s="4">
        <v>4031</v>
      </c>
      <c r="P37" s="4" t="s">
        <v>46</v>
      </c>
      <c r="Q37" s="4">
        <v>5</v>
      </c>
      <c r="R37" s="4">
        <v>3</v>
      </c>
      <c r="S37" s="4" t="s">
        <v>46</v>
      </c>
      <c r="T37" s="4" t="s">
        <v>56</v>
      </c>
      <c r="U37" s="4" t="s">
        <v>35</v>
      </c>
    </row>
    <row r="38" spans="1:21">
      <c r="A38" s="4">
        <v>1550</v>
      </c>
      <c r="B38" s="4" t="s">
        <v>172</v>
      </c>
      <c r="C38" s="4" t="s">
        <v>37</v>
      </c>
      <c r="D38" s="4">
        <v>21</v>
      </c>
      <c r="E38" s="4" t="s">
        <v>23</v>
      </c>
      <c r="F38" s="4" t="s">
        <v>39</v>
      </c>
      <c r="G38" s="4" t="s">
        <v>25</v>
      </c>
      <c r="H38" s="4" t="s">
        <v>26</v>
      </c>
      <c r="I38" s="4" t="s">
        <v>173</v>
      </c>
      <c r="J38" s="4" t="s">
        <v>174</v>
      </c>
      <c r="K38" s="4" t="s">
        <v>29</v>
      </c>
      <c r="L38" s="4" t="s">
        <v>54</v>
      </c>
      <c r="M38" s="4">
        <v>95510</v>
      </c>
      <c r="N38" s="4" t="s">
        <v>31</v>
      </c>
      <c r="O38" s="4">
        <v>6811</v>
      </c>
      <c r="P38" s="4" t="s">
        <v>32</v>
      </c>
      <c r="Q38" s="4">
        <v>18</v>
      </c>
      <c r="R38" s="4">
        <v>4</v>
      </c>
      <c r="S38" s="4" t="s">
        <v>47</v>
      </c>
      <c r="T38" s="4" t="s">
        <v>96</v>
      </c>
      <c r="U38" s="4" t="s">
        <v>35</v>
      </c>
    </row>
    <row r="39" spans="1:21">
      <c r="A39" s="4">
        <v>9968</v>
      </c>
      <c r="B39" s="4" t="s">
        <v>175</v>
      </c>
      <c r="C39" s="4" t="s">
        <v>37</v>
      </c>
      <c r="D39" s="4">
        <v>58</v>
      </c>
      <c r="E39" s="4" t="s">
        <v>68</v>
      </c>
      <c r="F39" s="4" t="s">
        <v>39</v>
      </c>
      <c r="G39" s="4" t="s">
        <v>72</v>
      </c>
      <c r="H39" s="4" t="s">
        <v>26</v>
      </c>
      <c r="I39" s="4" t="s">
        <v>176</v>
      </c>
      <c r="J39" s="4" t="s">
        <v>177</v>
      </c>
      <c r="K39" s="4" t="s">
        <v>63</v>
      </c>
      <c r="L39" s="4" t="s">
        <v>30</v>
      </c>
      <c r="M39" s="4">
        <v>80325</v>
      </c>
      <c r="N39" s="4" t="s">
        <v>45</v>
      </c>
      <c r="O39" s="4">
        <v>6230</v>
      </c>
      <c r="P39" s="4" t="s">
        <v>32</v>
      </c>
      <c r="Q39" s="4">
        <v>5</v>
      </c>
      <c r="R39" s="4">
        <v>4</v>
      </c>
      <c r="S39" s="4" t="s">
        <v>46</v>
      </c>
      <c r="T39" s="4" t="s">
        <v>66</v>
      </c>
      <c r="U39" s="4" t="s">
        <v>57</v>
      </c>
    </row>
    <row r="40" spans="1:21">
      <c r="A40" s="4">
        <v>8029</v>
      </c>
      <c r="B40" s="4" t="s">
        <v>178</v>
      </c>
      <c r="C40" s="4" t="s">
        <v>22</v>
      </c>
      <c r="D40" s="4">
        <v>57</v>
      </c>
      <c r="E40" s="4" t="s">
        <v>68</v>
      </c>
      <c r="F40" s="4" t="s">
        <v>80</v>
      </c>
      <c r="G40" s="4" t="s">
        <v>121</v>
      </c>
      <c r="H40" s="4" t="s">
        <v>81</v>
      </c>
      <c r="I40" s="4" t="s">
        <v>179</v>
      </c>
      <c r="J40" s="4" t="s">
        <v>180</v>
      </c>
      <c r="K40" s="4" t="s">
        <v>111</v>
      </c>
      <c r="L40" s="4" t="s">
        <v>44</v>
      </c>
      <c r="M40" s="4">
        <v>34109</v>
      </c>
      <c r="N40" s="4" t="s">
        <v>45</v>
      </c>
      <c r="O40" s="4">
        <v>9232</v>
      </c>
      <c r="P40" s="4" t="s">
        <v>32</v>
      </c>
      <c r="Q40" s="4">
        <v>13</v>
      </c>
      <c r="R40" s="4">
        <v>3</v>
      </c>
      <c r="S40" s="4" t="s">
        <v>33</v>
      </c>
      <c r="T40" s="4" t="s">
        <v>34</v>
      </c>
      <c r="U40" s="4" t="s">
        <v>35</v>
      </c>
    </row>
    <row r="41" spans="1:21">
      <c r="A41" s="4">
        <v>8847</v>
      </c>
      <c r="B41" s="4" t="s">
        <v>181</v>
      </c>
      <c r="C41" s="4" t="s">
        <v>37</v>
      </c>
      <c r="D41" s="4">
        <v>41</v>
      </c>
      <c r="E41" s="4" t="s">
        <v>59</v>
      </c>
      <c r="F41" s="4" t="s">
        <v>80</v>
      </c>
      <c r="G41" s="4" t="s">
        <v>72</v>
      </c>
      <c r="H41" s="4" t="s">
        <v>26</v>
      </c>
      <c r="I41" s="4" t="s">
        <v>182</v>
      </c>
      <c r="J41" s="4" t="s">
        <v>183</v>
      </c>
      <c r="K41" s="4" t="s">
        <v>111</v>
      </c>
      <c r="L41" s="4" t="s">
        <v>54</v>
      </c>
      <c r="M41" s="4">
        <v>73330</v>
      </c>
      <c r="N41" s="4" t="s">
        <v>31</v>
      </c>
      <c r="O41" s="4">
        <v>2276</v>
      </c>
      <c r="P41" s="4" t="s">
        <v>65</v>
      </c>
      <c r="Q41" s="4">
        <v>5</v>
      </c>
      <c r="R41" s="4">
        <v>1</v>
      </c>
      <c r="S41" s="4" t="s">
        <v>46</v>
      </c>
      <c r="T41" s="4" t="s">
        <v>56</v>
      </c>
      <c r="U41" s="4" t="s">
        <v>57</v>
      </c>
    </row>
    <row r="42" spans="1:21">
      <c r="A42" s="4">
        <v>1955</v>
      </c>
      <c r="B42" s="4" t="s">
        <v>184</v>
      </c>
      <c r="C42" s="4" t="s">
        <v>22</v>
      </c>
      <c r="D42" s="4">
        <v>58</v>
      </c>
      <c r="E42" s="4" t="s">
        <v>68</v>
      </c>
      <c r="F42" s="4" t="s">
        <v>49</v>
      </c>
      <c r="G42" s="4" t="s">
        <v>50</v>
      </c>
      <c r="H42" s="4" t="s">
        <v>41</v>
      </c>
      <c r="I42" s="4" t="s">
        <v>185</v>
      </c>
      <c r="J42" s="4" t="s">
        <v>186</v>
      </c>
      <c r="K42" s="4" t="s">
        <v>63</v>
      </c>
      <c r="L42" s="4" t="s">
        <v>54</v>
      </c>
      <c r="M42" s="4">
        <v>46567</v>
      </c>
      <c r="N42" s="4" t="s">
        <v>64</v>
      </c>
      <c r="O42" s="4">
        <v>2825</v>
      </c>
      <c r="P42" s="4" t="s">
        <v>32</v>
      </c>
      <c r="Q42" s="4">
        <v>15</v>
      </c>
      <c r="R42" s="4">
        <v>3</v>
      </c>
      <c r="S42" s="4" t="s">
        <v>46</v>
      </c>
      <c r="T42" s="4" t="s">
        <v>96</v>
      </c>
      <c r="U42" s="4" t="s">
        <v>57</v>
      </c>
    </row>
    <row r="43" spans="1:21">
      <c r="A43" s="4">
        <v>4522</v>
      </c>
      <c r="B43" s="4" t="s">
        <v>187</v>
      </c>
      <c r="C43" s="4" t="s">
        <v>22</v>
      </c>
      <c r="D43" s="4">
        <v>36</v>
      </c>
      <c r="E43" s="4" t="s">
        <v>59</v>
      </c>
      <c r="F43" s="4" t="s">
        <v>24</v>
      </c>
      <c r="G43" s="4" t="s">
        <v>121</v>
      </c>
      <c r="H43" s="4" t="s">
        <v>26</v>
      </c>
      <c r="I43" s="4" t="s">
        <v>188</v>
      </c>
      <c r="J43" s="4" t="s">
        <v>189</v>
      </c>
      <c r="K43" s="4" t="s">
        <v>63</v>
      </c>
      <c r="L43" s="4" t="s">
        <v>44</v>
      </c>
      <c r="M43" s="4">
        <v>39795</v>
      </c>
      <c r="N43" s="4" t="s">
        <v>64</v>
      </c>
      <c r="O43" s="4">
        <v>1670</v>
      </c>
      <c r="P43" s="4" t="s">
        <v>46</v>
      </c>
      <c r="Q43" s="4">
        <v>0</v>
      </c>
      <c r="R43" s="4">
        <v>2</v>
      </c>
      <c r="S43" s="4" t="s">
        <v>47</v>
      </c>
      <c r="T43" s="4" t="s">
        <v>75</v>
      </c>
      <c r="U43" s="4" t="s">
        <v>46</v>
      </c>
    </row>
    <row r="44" spans="1:21">
      <c r="A44" s="4">
        <v>3078</v>
      </c>
      <c r="B44" s="4" t="s">
        <v>190</v>
      </c>
      <c r="C44" s="4" t="s">
        <v>22</v>
      </c>
      <c r="D44" s="4">
        <v>21</v>
      </c>
      <c r="E44" s="4" t="s">
        <v>23</v>
      </c>
      <c r="F44" s="4" t="s">
        <v>24</v>
      </c>
      <c r="G44" s="4" t="s">
        <v>25</v>
      </c>
      <c r="H44" s="4" t="s">
        <v>81</v>
      </c>
      <c r="I44" s="4" t="s">
        <v>191</v>
      </c>
      <c r="J44" s="4" t="s">
        <v>192</v>
      </c>
      <c r="K44" s="4" t="s">
        <v>63</v>
      </c>
      <c r="L44" s="4" t="s">
        <v>54</v>
      </c>
      <c r="M44" s="4">
        <v>59506</v>
      </c>
      <c r="N44" s="4" t="s">
        <v>64</v>
      </c>
      <c r="O44" s="4">
        <v>4428</v>
      </c>
      <c r="P44" s="4" t="s">
        <v>65</v>
      </c>
      <c r="Q44" s="4">
        <v>0</v>
      </c>
      <c r="R44" s="4">
        <v>1</v>
      </c>
      <c r="S44" s="4" t="s">
        <v>46</v>
      </c>
      <c r="T44" s="4" t="s">
        <v>75</v>
      </c>
      <c r="U44" s="4" t="s">
        <v>35</v>
      </c>
    </row>
    <row r="45" spans="1:21">
      <c r="A45" s="4">
        <v>6357</v>
      </c>
      <c r="B45" s="4" t="s">
        <v>193</v>
      </c>
      <c r="C45" s="4" t="s">
        <v>22</v>
      </c>
      <c r="D45" s="4">
        <v>46</v>
      </c>
      <c r="E45" s="4" t="s">
        <v>98</v>
      </c>
      <c r="F45" s="4" t="s">
        <v>49</v>
      </c>
      <c r="G45" s="4" t="s">
        <v>40</v>
      </c>
      <c r="H45" s="4" t="s">
        <v>81</v>
      </c>
      <c r="I45" s="4" t="s">
        <v>194</v>
      </c>
      <c r="J45" s="4" t="s">
        <v>195</v>
      </c>
      <c r="K45" s="4" t="s">
        <v>63</v>
      </c>
      <c r="L45" s="4" t="s">
        <v>54</v>
      </c>
      <c r="M45" s="4">
        <v>49058</v>
      </c>
      <c r="N45" s="4" t="s">
        <v>45</v>
      </c>
      <c r="O45" s="4">
        <v>4396</v>
      </c>
      <c r="P45" s="4" t="s">
        <v>46</v>
      </c>
      <c r="Q45" s="4">
        <v>5</v>
      </c>
      <c r="R45" s="4">
        <v>1</v>
      </c>
      <c r="S45" s="4" t="s">
        <v>46</v>
      </c>
      <c r="T45" s="4" t="s">
        <v>75</v>
      </c>
      <c r="U45" s="4" t="s">
        <v>46</v>
      </c>
    </row>
    <row r="46" spans="1:21">
      <c r="A46" s="4">
        <v>7951</v>
      </c>
      <c r="B46" s="4" t="s">
        <v>196</v>
      </c>
      <c r="C46" s="4" t="s">
        <v>22</v>
      </c>
      <c r="D46" s="4">
        <v>36</v>
      </c>
      <c r="E46" s="4" t="s">
        <v>59</v>
      </c>
      <c r="F46" s="4" t="s">
        <v>80</v>
      </c>
      <c r="G46" s="4" t="s">
        <v>50</v>
      </c>
      <c r="H46" s="4" t="s">
        <v>81</v>
      </c>
      <c r="I46" s="4" t="s">
        <v>197</v>
      </c>
      <c r="J46" s="4" t="s">
        <v>198</v>
      </c>
      <c r="K46" s="4" t="s">
        <v>63</v>
      </c>
      <c r="L46" s="4" t="s">
        <v>30</v>
      </c>
      <c r="M46" s="4">
        <v>98612</v>
      </c>
      <c r="N46" s="4" t="s">
        <v>64</v>
      </c>
      <c r="O46" s="4">
        <v>1168</v>
      </c>
      <c r="P46" s="4" t="s">
        <v>46</v>
      </c>
      <c r="Q46" s="4">
        <v>9</v>
      </c>
      <c r="R46" s="4">
        <v>2</v>
      </c>
      <c r="S46" s="4" t="s">
        <v>47</v>
      </c>
      <c r="T46" s="4" t="s">
        <v>34</v>
      </c>
      <c r="U46" s="4" t="s">
        <v>35</v>
      </c>
    </row>
    <row r="47" spans="1:21">
      <c r="A47" s="4">
        <v>9228</v>
      </c>
      <c r="B47" s="4" t="s">
        <v>199</v>
      </c>
      <c r="C47" s="4" t="s">
        <v>37</v>
      </c>
      <c r="D47" s="4">
        <v>41</v>
      </c>
      <c r="E47" s="4" t="s">
        <v>59</v>
      </c>
      <c r="F47" s="4" t="s">
        <v>102</v>
      </c>
      <c r="G47" s="4" t="s">
        <v>72</v>
      </c>
      <c r="H47" s="4" t="s">
        <v>41</v>
      </c>
      <c r="I47" s="4" t="s">
        <v>200</v>
      </c>
      <c r="J47" s="4" t="s">
        <v>201</v>
      </c>
      <c r="K47" s="4" t="s">
        <v>111</v>
      </c>
      <c r="L47" s="4" t="s">
        <v>44</v>
      </c>
      <c r="M47" s="4">
        <v>38201</v>
      </c>
      <c r="N47" s="4" t="s">
        <v>64</v>
      </c>
      <c r="O47" s="4">
        <v>7111</v>
      </c>
      <c r="P47" s="4" t="s">
        <v>32</v>
      </c>
      <c r="Q47" s="4">
        <v>8</v>
      </c>
      <c r="R47" s="4">
        <v>4</v>
      </c>
      <c r="S47" s="4" t="s">
        <v>33</v>
      </c>
      <c r="T47" s="4" t="s">
        <v>75</v>
      </c>
      <c r="U47" s="4" t="s">
        <v>46</v>
      </c>
    </row>
    <row r="48" spans="1:21">
      <c r="A48" s="4">
        <v>8988</v>
      </c>
      <c r="B48" s="4" t="s">
        <v>202</v>
      </c>
      <c r="C48" s="4" t="s">
        <v>37</v>
      </c>
      <c r="D48" s="4">
        <v>25</v>
      </c>
      <c r="E48" s="4" t="s">
        <v>23</v>
      </c>
      <c r="F48" s="4" t="s">
        <v>24</v>
      </c>
      <c r="G48" s="4" t="s">
        <v>50</v>
      </c>
      <c r="H48" s="4" t="s">
        <v>51</v>
      </c>
      <c r="I48" s="4" t="s">
        <v>203</v>
      </c>
      <c r="J48" s="4" t="s">
        <v>204</v>
      </c>
      <c r="K48" s="4" t="s">
        <v>111</v>
      </c>
      <c r="L48" s="4" t="s">
        <v>44</v>
      </c>
      <c r="M48" s="4">
        <v>92919</v>
      </c>
      <c r="N48" s="4" t="s">
        <v>55</v>
      </c>
      <c r="O48" s="4">
        <v>9497</v>
      </c>
      <c r="P48" s="4" t="s">
        <v>32</v>
      </c>
      <c r="Q48" s="4">
        <v>7</v>
      </c>
      <c r="R48" s="4">
        <v>2</v>
      </c>
      <c r="S48" s="4" t="s">
        <v>46</v>
      </c>
      <c r="T48" s="4" t="s">
        <v>75</v>
      </c>
      <c r="U48" s="4" t="s">
        <v>57</v>
      </c>
    </row>
    <row r="49" spans="1:21">
      <c r="A49" s="4">
        <v>1952</v>
      </c>
      <c r="B49" s="4" t="s">
        <v>205</v>
      </c>
      <c r="C49" s="4" t="s">
        <v>22</v>
      </c>
      <c r="D49" s="4">
        <v>29</v>
      </c>
      <c r="E49" s="4" t="s">
        <v>38</v>
      </c>
      <c r="F49" s="4" t="s">
        <v>102</v>
      </c>
      <c r="G49" s="4" t="s">
        <v>25</v>
      </c>
      <c r="H49" s="4" t="s">
        <v>41</v>
      </c>
      <c r="I49" s="4" t="s">
        <v>206</v>
      </c>
      <c r="J49" s="4" t="s">
        <v>207</v>
      </c>
      <c r="K49" s="4" t="s">
        <v>29</v>
      </c>
      <c r="L49" s="4" t="s">
        <v>54</v>
      </c>
      <c r="M49" s="4">
        <v>45188</v>
      </c>
      <c r="N49" s="4" t="s">
        <v>64</v>
      </c>
      <c r="O49" s="4">
        <v>9591</v>
      </c>
      <c r="P49" s="4" t="s">
        <v>65</v>
      </c>
      <c r="Q49" s="4">
        <v>18</v>
      </c>
      <c r="R49" s="4">
        <v>3</v>
      </c>
      <c r="S49" s="4" t="s">
        <v>33</v>
      </c>
      <c r="T49" s="4" t="s">
        <v>75</v>
      </c>
      <c r="U49" s="4" t="s">
        <v>46</v>
      </c>
    </row>
    <row r="50" spans="1:21">
      <c r="A50" s="4">
        <v>5760</v>
      </c>
      <c r="B50" s="4" t="s">
        <v>208</v>
      </c>
      <c r="C50" s="4" t="s">
        <v>22</v>
      </c>
      <c r="D50" s="4">
        <v>59</v>
      </c>
      <c r="E50" s="4" t="s">
        <v>68</v>
      </c>
      <c r="F50" s="4" t="s">
        <v>49</v>
      </c>
      <c r="G50" s="4" t="s">
        <v>40</v>
      </c>
      <c r="H50" s="4" t="s">
        <v>26</v>
      </c>
      <c r="I50" s="4" t="s">
        <v>209</v>
      </c>
      <c r="J50" s="4" t="s">
        <v>210</v>
      </c>
      <c r="K50" s="4" t="s">
        <v>29</v>
      </c>
      <c r="L50" s="4" t="s">
        <v>44</v>
      </c>
      <c r="M50" s="4">
        <v>34927</v>
      </c>
      <c r="N50" s="4" t="s">
        <v>55</v>
      </c>
      <c r="O50" s="4">
        <v>6996</v>
      </c>
      <c r="P50" s="4" t="s">
        <v>65</v>
      </c>
      <c r="Q50" s="4">
        <v>16</v>
      </c>
      <c r="R50" s="4">
        <v>1</v>
      </c>
      <c r="S50" s="4" t="s">
        <v>47</v>
      </c>
      <c r="T50" s="4" t="s">
        <v>34</v>
      </c>
      <c r="U50" s="4" t="s">
        <v>35</v>
      </c>
    </row>
    <row r="51" spans="1:21">
      <c r="A51" s="4">
        <v>5742</v>
      </c>
      <c r="B51" s="4" t="s">
        <v>211</v>
      </c>
      <c r="C51" s="4" t="s">
        <v>22</v>
      </c>
      <c r="D51" s="4">
        <v>27</v>
      </c>
      <c r="E51" s="4" t="s">
        <v>38</v>
      </c>
      <c r="F51" s="4" t="s">
        <v>24</v>
      </c>
      <c r="G51" s="4" t="s">
        <v>50</v>
      </c>
      <c r="H51" s="4" t="s">
        <v>60</v>
      </c>
      <c r="I51" s="4" t="s">
        <v>212</v>
      </c>
      <c r="J51" s="4" t="s">
        <v>213</v>
      </c>
      <c r="K51" s="4" t="s">
        <v>29</v>
      </c>
      <c r="L51" s="4" t="s">
        <v>44</v>
      </c>
      <c r="M51" s="4">
        <v>33183</v>
      </c>
      <c r="N51" s="4" t="s">
        <v>64</v>
      </c>
      <c r="O51" s="4">
        <v>1659</v>
      </c>
      <c r="P51" s="4" t="s">
        <v>46</v>
      </c>
      <c r="Q51" s="4">
        <v>11</v>
      </c>
      <c r="R51" s="4">
        <v>1</v>
      </c>
      <c r="S51" s="4" t="s">
        <v>33</v>
      </c>
      <c r="T51" s="4" t="s">
        <v>66</v>
      </c>
      <c r="U51" s="4"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17A69-AF68-41FF-BCD7-158E8909D533}">
  <dimension ref="B1:Z24"/>
  <sheetViews>
    <sheetView zoomScale="81" zoomScaleNormal="81" workbookViewId="0">
      <selection activeCell="E35" sqref="E35"/>
    </sheetView>
  </sheetViews>
  <sheetFormatPr defaultRowHeight="15.6"/>
  <cols>
    <col min="1" max="1" width="3.21875" customWidth="1"/>
    <col min="2" max="2" width="14.5546875" bestFit="1" customWidth="1"/>
    <col min="3" max="3" width="19.33203125" bestFit="1" customWidth="1"/>
    <col min="4" max="4" width="2.21875" customWidth="1"/>
    <col min="5" max="5" width="14.5546875" bestFit="1" customWidth="1"/>
    <col min="6" max="6" width="14.109375" bestFit="1" customWidth="1"/>
    <col min="7" max="7" width="20.6640625" bestFit="1" customWidth="1"/>
    <col min="8" max="8" width="2.6640625" customWidth="1"/>
    <col min="9" max="9" width="19.33203125" bestFit="1" customWidth="1"/>
    <col min="10" max="10" width="17.5546875" bestFit="1" customWidth="1"/>
    <col min="11" max="11" width="5.88671875" bestFit="1" customWidth="1"/>
    <col min="12" max="12" width="12.5546875" bestFit="1" customWidth="1"/>
    <col min="13" max="13" width="3.77734375" customWidth="1"/>
    <col min="14" max="14" width="14.5546875" bestFit="1" customWidth="1"/>
    <col min="15" max="15" width="19.33203125" bestFit="1" customWidth="1"/>
    <col min="18" max="18" width="3" customWidth="1"/>
    <col min="19" max="19" width="14.77734375" style="6" bestFit="1" customWidth="1"/>
    <col min="20" max="20" width="19.33203125" style="6" bestFit="1" customWidth="1"/>
    <col min="21" max="21" width="3.6640625" customWidth="1"/>
    <col min="22" max="22" width="14.5546875" style="11" bestFit="1" customWidth="1"/>
    <col min="23" max="23" width="19.33203125" style="11" bestFit="1" customWidth="1"/>
    <col min="24" max="24" width="3.33203125" customWidth="1"/>
    <col min="25" max="25" width="14.5546875" style="6" bestFit="1" customWidth="1"/>
    <col min="26" max="26" width="31.44140625" style="6" bestFit="1" customWidth="1"/>
  </cols>
  <sheetData>
    <row r="1" spans="2:26">
      <c r="I1" s="6"/>
      <c r="J1" s="6"/>
      <c r="K1" s="6"/>
      <c r="L1" s="6"/>
      <c r="N1" s="6"/>
      <c r="O1" s="6"/>
    </row>
    <row r="2" spans="2:26">
      <c r="B2" s="16" t="s">
        <v>217</v>
      </c>
      <c r="C2" s="16"/>
      <c r="E2" s="16" t="s">
        <v>219</v>
      </c>
      <c r="F2" s="16"/>
      <c r="G2" s="16"/>
      <c r="I2" s="15" t="s">
        <v>222</v>
      </c>
      <c r="J2" s="15"/>
      <c r="K2" s="15"/>
      <c r="L2" s="15"/>
      <c r="N2" s="15" t="s">
        <v>227</v>
      </c>
      <c r="O2" s="15"/>
      <c r="S2" s="15" t="s">
        <v>19</v>
      </c>
      <c r="T2" s="15"/>
      <c r="V2" s="14" t="s">
        <v>229</v>
      </c>
      <c r="W2" s="14"/>
      <c r="Y2" s="15" t="s">
        <v>230</v>
      </c>
      <c r="Z2" s="15"/>
    </row>
    <row r="3" spans="2:26">
      <c r="I3" s="6"/>
      <c r="J3" s="6"/>
      <c r="K3" s="6"/>
      <c r="L3" s="6"/>
      <c r="N3" s="6"/>
      <c r="O3" s="6"/>
    </row>
    <row r="4" spans="2:26">
      <c r="B4" s="5" t="s">
        <v>214</v>
      </c>
      <c r="C4" s="6" t="s">
        <v>216</v>
      </c>
      <c r="E4" s="5" t="s">
        <v>214</v>
      </c>
      <c r="F4" s="6" t="s">
        <v>218</v>
      </c>
      <c r="G4" s="6" t="s">
        <v>228</v>
      </c>
      <c r="H4" s="6"/>
      <c r="I4" s="5" t="s">
        <v>216</v>
      </c>
      <c r="J4" s="5" t="s">
        <v>221</v>
      </c>
      <c r="K4" s="6"/>
      <c r="L4" s="6"/>
      <c r="N4" s="5" t="s">
        <v>214</v>
      </c>
      <c r="O4" s="6" t="s">
        <v>216</v>
      </c>
      <c r="S4" s="5" t="s">
        <v>214</v>
      </c>
      <c r="T4" s="6" t="s">
        <v>216</v>
      </c>
      <c r="V4" s="5" t="s">
        <v>214</v>
      </c>
      <c r="W4" s="6" t="s">
        <v>216</v>
      </c>
      <c r="Y4" s="5" t="s">
        <v>214</v>
      </c>
      <c r="Z4" s="6" t="s">
        <v>231</v>
      </c>
    </row>
    <row r="5" spans="2:26">
      <c r="B5" s="7" t="s">
        <v>63</v>
      </c>
      <c r="C5" s="17">
        <v>17</v>
      </c>
      <c r="E5" s="7" t="s">
        <v>121</v>
      </c>
      <c r="F5" s="17">
        <v>167041</v>
      </c>
      <c r="G5" s="17">
        <v>28</v>
      </c>
      <c r="H5" s="6"/>
      <c r="I5" s="5" t="s">
        <v>214</v>
      </c>
      <c r="J5" s="6" t="s">
        <v>22</v>
      </c>
      <c r="K5" s="6" t="s">
        <v>37</v>
      </c>
      <c r="L5" s="6" t="s">
        <v>215</v>
      </c>
      <c r="N5" s="7" t="s">
        <v>44</v>
      </c>
      <c r="O5" s="17">
        <v>23</v>
      </c>
      <c r="S5" s="7" t="s">
        <v>75</v>
      </c>
      <c r="T5" s="17">
        <v>12</v>
      </c>
      <c r="V5" s="7" t="s">
        <v>39</v>
      </c>
      <c r="W5" s="17">
        <v>14</v>
      </c>
      <c r="Y5" s="7" t="s">
        <v>26</v>
      </c>
      <c r="Z5" s="12">
        <v>2.5833333333333335</v>
      </c>
    </row>
    <row r="6" spans="2:26">
      <c r="B6" s="7" t="s">
        <v>29</v>
      </c>
      <c r="C6" s="17">
        <v>20</v>
      </c>
      <c r="E6" s="7" t="s">
        <v>40</v>
      </c>
      <c r="F6" s="17">
        <v>613842</v>
      </c>
      <c r="G6" s="17">
        <v>110</v>
      </c>
      <c r="H6" s="6"/>
      <c r="I6" s="7" t="s">
        <v>23</v>
      </c>
      <c r="J6" s="17">
        <v>6</v>
      </c>
      <c r="K6" s="17">
        <v>3</v>
      </c>
      <c r="L6" s="17">
        <v>9</v>
      </c>
      <c r="N6" s="7" t="s">
        <v>30</v>
      </c>
      <c r="O6" s="17">
        <v>8</v>
      </c>
      <c r="S6" s="7" t="s">
        <v>34</v>
      </c>
      <c r="T6" s="17">
        <v>11</v>
      </c>
      <c r="V6" s="7" t="s">
        <v>24</v>
      </c>
      <c r="W6" s="17">
        <v>10</v>
      </c>
      <c r="Y6" s="7" t="s">
        <v>41</v>
      </c>
      <c r="Z6" s="12">
        <v>3.3</v>
      </c>
    </row>
    <row r="7" spans="2:26">
      <c r="B7" s="7" t="s">
        <v>111</v>
      </c>
      <c r="C7" s="17">
        <v>13</v>
      </c>
      <c r="E7" s="7" t="s">
        <v>72</v>
      </c>
      <c r="F7" s="17">
        <v>633594</v>
      </c>
      <c r="G7" s="17">
        <v>104</v>
      </c>
      <c r="H7" s="6"/>
      <c r="I7" s="7" t="s">
        <v>38</v>
      </c>
      <c r="J7" s="17">
        <v>7</v>
      </c>
      <c r="K7" s="17">
        <v>6</v>
      </c>
      <c r="L7" s="17">
        <v>13</v>
      </c>
      <c r="N7" s="7" t="s">
        <v>54</v>
      </c>
      <c r="O7" s="17">
        <v>19</v>
      </c>
      <c r="S7" s="7" t="s">
        <v>96</v>
      </c>
      <c r="T7" s="17">
        <v>7</v>
      </c>
      <c r="V7" s="7" t="s">
        <v>102</v>
      </c>
      <c r="W7" s="17">
        <v>7</v>
      </c>
      <c r="Y7" s="7" t="s">
        <v>81</v>
      </c>
      <c r="Z7" s="12">
        <v>2.25</v>
      </c>
    </row>
    <row r="8" spans="2:26">
      <c r="B8" s="7" t="s">
        <v>215</v>
      </c>
      <c r="C8" s="17">
        <v>50</v>
      </c>
      <c r="E8" s="7" t="s">
        <v>50</v>
      </c>
      <c r="F8" s="17">
        <v>959266</v>
      </c>
      <c r="G8" s="17">
        <v>123</v>
      </c>
      <c r="H8" s="6"/>
      <c r="I8" s="7" t="s">
        <v>59</v>
      </c>
      <c r="J8" s="17">
        <v>5</v>
      </c>
      <c r="K8" s="17">
        <v>7</v>
      </c>
      <c r="L8" s="17">
        <v>12</v>
      </c>
      <c r="N8" s="7" t="s">
        <v>215</v>
      </c>
      <c r="O8" s="17">
        <v>50</v>
      </c>
      <c r="S8" s="7" t="s">
        <v>56</v>
      </c>
      <c r="T8" s="17">
        <v>11</v>
      </c>
      <c r="V8" s="7" t="s">
        <v>80</v>
      </c>
      <c r="W8" s="17">
        <v>10</v>
      </c>
      <c r="Y8" s="7" t="s">
        <v>51</v>
      </c>
      <c r="Z8" s="12">
        <v>2.3636363636363638</v>
      </c>
    </row>
    <row r="9" spans="2:26">
      <c r="E9" s="7" t="s">
        <v>25</v>
      </c>
      <c r="F9" s="17">
        <v>731170</v>
      </c>
      <c r="G9" s="17">
        <v>122</v>
      </c>
      <c r="H9" s="6"/>
      <c r="I9" s="7" t="s">
        <v>98</v>
      </c>
      <c r="J9" s="17">
        <v>4</v>
      </c>
      <c r="K9" s="17">
        <v>3</v>
      </c>
      <c r="L9" s="17">
        <v>7</v>
      </c>
      <c r="N9" s="6"/>
      <c r="O9" s="6"/>
      <c r="S9" s="7" t="s">
        <v>66</v>
      </c>
      <c r="T9" s="17">
        <v>9</v>
      </c>
      <c r="V9" s="7" t="s">
        <v>49</v>
      </c>
      <c r="W9" s="17">
        <v>9</v>
      </c>
      <c r="Y9" s="7" t="s">
        <v>60</v>
      </c>
      <c r="Z9" s="12">
        <v>2.5555555555555554</v>
      </c>
    </row>
    <row r="10" spans="2:26">
      <c r="B10" s="7" t="s">
        <v>63</v>
      </c>
      <c r="C10" s="6">
        <f>IFERROR(GETPIVOTDATA("Full Name",$B$4,"Employment Status","Contract"),"0")</f>
        <v>17</v>
      </c>
      <c r="E10" s="7" t="s">
        <v>215</v>
      </c>
      <c r="F10" s="17">
        <v>3104913</v>
      </c>
      <c r="G10" s="17">
        <v>487</v>
      </c>
      <c r="H10" s="6"/>
      <c r="I10" s="7" t="s">
        <v>68</v>
      </c>
      <c r="J10" s="17">
        <v>4</v>
      </c>
      <c r="K10" s="17">
        <v>5</v>
      </c>
      <c r="L10" s="17">
        <v>9</v>
      </c>
      <c r="N10" s="7" t="s">
        <v>44</v>
      </c>
      <c r="O10" s="6">
        <f>IFERROR(GETPIVOTDATA("Full Name",$N$4,"Work Location","Branch Office"),"0")</f>
        <v>23</v>
      </c>
      <c r="P10" s="8">
        <f t="shared" ref="P10:P12" si="0">SUM(O10)/SUM($O$10:$O$12)</f>
        <v>0.46</v>
      </c>
      <c r="Q10" s="8">
        <f>1-P10</f>
        <v>0.54</v>
      </c>
      <c r="S10" s="7" t="s">
        <v>215</v>
      </c>
      <c r="T10" s="17">
        <v>50</v>
      </c>
      <c r="V10" s="7" t="s">
        <v>215</v>
      </c>
      <c r="W10" s="17">
        <v>50</v>
      </c>
      <c r="Y10" s="7" t="s">
        <v>215</v>
      </c>
      <c r="Z10" s="17">
        <v>2.62</v>
      </c>
    </row>
    <row r="11" spans="2:26">
      <c r="B11" s="7" t="s">
        <v>29</v>
      </c>
      <c r="C11" s="6">
        <f>IFERROR(GETPIVOTDATA("Full Name",$B$4,"Employment Status","Full-Time"),"0")</f>
        <v>20</v>
      </c>
      <c r="E11" s="6"/>
      <c r="F11" s="6"/>
      <c r="I11" s="7" t="s">
        <v>215</v>
      </c>
      <c r="J11" s="17">
        <v>26</v>
      </c>
      <c r="K11" s="17">
        <v>24</v>
      </c>
      <c r="L11" s="17">
        <v>50</v>
      </c>
      <c r="N11" s="7" t="s">
        <v>30</v>
      </c>
      <c r="O11" s="6">
        <f>IFERROR(GETPIVOTDATA("Full Name",$N$4,"Work Location","Head Office"),"0")</f>
        <v>8</v>
      </c>
      <c r="P11" s="8">
        <f t="shared" si="0"/>
        <v>0.16</v>
      </c>
      <c r="Q11" s="8">
        <f t="shared" ref="Q11:Q12" si="1">1-P11</f>
        <v>0.84</v>
      </c>
      <c r="V11" s="6"/>
      <c r="W11" s="6"/>
    </row>
    <row r="12" spans="2:26">
      <c r="B12" s="7" t="s">
        <v>111</v>
      </c>
      <c r="C12" s="6">
        <f>IFERROR(GETPIVOTDATA("Full Name",$B$4,"Employment Status","Part-Time"),"0")</f>
        <v>13</v>
      </c>
      <c r="E12" s="7" t="s">
        <v>121</v>
      </c>
      <c r="F12" s="6">
        <f>IFERROR(GETPIVOTDATA("Salary",E4,"Job Title","Analyst"),"0")</f>
        <v>167041</v>
      </c>
      <c r="G12" s="6">
        <f>IFERROR(GETPIVOTDATA("Sum of Leave Taken",$E$4,"Job Title","Analyst"),"0")</f>
        <v>28</v>
      </c>
      <c r="I12" s="6"/>
      <c r="J12" s="6"/>
      <c r="K12" s="6"/>
      <c r="L12" s="6"/>
      <c r="N12" s="7" t="s">
        <v>54</v>
      </c>
      <c r="O12" s="6">
        <f>IFERROR(GETPIVOTDATA("Full Name",$N$4,"Work Location","Remote"),"0")</f>
        <v>19</v>
      </c>
      <c r="P12" s="8">
        <f t="shared" si="0"/>
        <v>0.38</v>
      </c>
      <c r="Q12" s="8">
        <f t="shared" si="1"/>
        <v>0.62</v>
      </c>
      <c r="V12" s="6"/>
      <c r="W12" s="6"/>
    </row>
    <row r="13" spans="2:26">
      <c r="B13" s="7" t="s">
        <v>220</v>
      </c>
      <c r="C13">
        <f>IFERROR(GETPIVOTDATA("Full Name",$B$4),"0")</f>
        <v>50</v>
      </c>
      <c r="E13" s="7" t="s">
        <v>40</v>
      </c>
      <c r="F13" s="6">
        <f>IFERROR(GETPIVOTDATA("Salary",$E$4,"Job Title","Designer"),"0")</f>
        <v>613842</v>
      </c>
      <c r="G13" s="6">
        <f>IFERROR(GETPIVOTDATA("Sum of Leave Taken",$E$4,"Job Title","Designer"),"0")</f>
        <v>110</v>
      </c>
      <c r="I13" s="7" t="s">
        <v>23</v>
      </c>
      <c r="J13" s="6">
        <f>IFERROR(GETPIVOTDATA("Full Name",$I$4,"Age range","18-25"),"0")</f>
        <v>9</v>
      </c>
      <c r="K13" s="6"/>
      <c r="L13" s="6"/>
      <c r="S13" s="7" t="s">
        <v>75</v>
      </c>
      <c r="T13" s="6">
        <f>IFERROR(GETPIVOTDATA("Full Name",$S$4,"Skills","Communication"),"0")</f>
        <v>12</v>
      </c>
      <c r="V13" s="7" t="s">
        <v>39</v>
      </c>
      <c r="W13" s="6">
        <f>IFERROR(GETPIVOTDATA("Full Name",$V$4,"Region","Central"),"0")</f>
        <v>14</v>
      </c>
      <c r="Y13" s="7" t="s">
        <v>26</v>
      </c>
      <c r="Z13" s="12">
        <f>IFERROR(GETPIVOTDATA("Performance Rating",$Y$4,"Department","Finance"),"0")</f>
        <v>2.5833333333333335</v>
      </c>
    </row>
    <row r="14" spans="2:26">
      <c r="E14" s="7" t="s">
        <v>72</v>
      </c>
      <c r="F14" s="6">
        <f>IFERROR(GETPIVOTDATA("Salary",$E$4,"Job Title","Developer"),"0")</f>
        <v>633594</v>
      </c>
      <c r="G14" s="6">
        <f>IFERROR(GETPIVOTDATA("Sum of Leave Taken",$E$4,"Job Title","Developer"),"0")</f>
        <v>104</v>
      </c>
      <c r="I14" s="7" t="s">
        <v>38</v>
      </c>
      <c r="J14" s="6">
        <f>IFERROR(GETPIVOTDATA("Full Name",$I$4,"Age range","26-35"),"0")</f>
        <v>13</v>
      </c>
      <c r="K14" s="6"/>
      <c r="L14" s="6"/>
      <c r="S14" s="7" t="s">
        <v>34</v>
      </c>
      <c r="T14" s="6">
        <f>IFERROR(GETPIVOTDATA("Full Name",$S$4,"Skills","Design"),"0")</f>
        <v>11</v>
      </c>
      <c r="V14" s="7" t="s">
        <v>24</v>
      </c>
      <c r="W14" s="6">
        <f>IFERROR(GETPIVOTDATA("Full Name",$V$4,"Region","East"),"0")</f>
        <v>10</v>
      </c>
      <c r="Y14" s="7" t="s">
        <v>41</v>
      </c>
      <c r="Z14" s="12">
        <f>IFERROR(GETPIVOTDATA("Performance Rating",$Y$4,"Department","HR"),"0")</f>
        <v>3.3</v>
      </c>
    </row>
    <row r="15" spans="2:26">
      <c r="E15" s="7" t="s">
        <v>50</v>
      </c>
      <c r="F15" s="6">
        <f>IFERROR(GETPIVOTDATA("Salary",$E$4,"Job Title","HR Specialist"),"0")</f>
        <v>959266</v>
      </c>
      <c r="G15" s="6">
        <f>IFERROR(GETPIVOTDATA("Sum of Leave Taken",$E$4,"Job Title","HR Specialist"),"0")</f>
        <v>123</v>
      </c>
      <c r="I15" s="7" t="s">
        <v>59</v>
      </c>
      <c r="J15" s="6">
        <f>IFERROR(GETPIVOTDATA("Full Name",$I$4,"Age range","36-45"),"0")</f>
        <v>12</v>
      </c>
      <c r="K15" s="6"/>
      <c r="L15" s="6"/>
      <c r="S15" s="7" t="s">
        <v>96</v>
      </c>
      <c r="T15" s="6">
        <f>IFERROR(GETPIVOTDATA("Full Name",$S$4,"Skills","Excel"),"0")</f>
        <v>7</v>
      </c>
      <c r="V15" s="7" t="s">
        <v>102</v>
      </c>
      <c r="W15" s="6">
        <f>IFERROR(GETPIVOTDATA("Full Name",$V$4,"Region","North"),"0")</f>
        <v>7</v>
      </c>
      <c r="Y15" s="7" t="s">
        <v>81</v>
      </c>
      <c r="Z15" s="12">
        <f>IFERROR(GETPIVOTDATA("Performance Rating",$Y$4,"Department","IT"),"0")</f>
        <v>2.25</v>
      </c>
    </row>
    <row r="16" spans="2:26">
      <c r="E16" s="7" t="s">
        <v>25</v>
      </c>
      <c r="F16" s="6">
        <f>IFERROR(GETPIVOTDATA("Salary",$E$4,"Job Title","Manager"),"0")</f>
        <v>731170</v>
      </c>
      <c r="G16" s="6">
        <f>IFERROR(GETPIVOTDATA("Sum of Leave Taken",$E$4,"Job Title","Manager"),"0")</f>
        <v>122</v>
      </c>
      <c r="I16" s="7" t="s">
        <v>98</v>
      </c>
      <c r="J16" s="6">
        <f>IFERROR(GETPIVOTDATA("Full Name",$I$4,"Age range","46-55"),"0")</f>
        <v>7</v>
      </c>
      <c r="K16" s="6"/>
      <c r="L16" s="6"/>
      <c r="S16" s="7" t="s">
        <v>56</v>
      </c>
      <c r="T16" s="6">
        <f>IFERROR(GETPIVOTDATA("Full Name",$S$4,"Skills","Management"),"0")</f>
        <v>11</v>
      </c>
      <c r="V16" s="7" t="s">
        <v>80</v>
      </c>
      <c r="W16" s="6">
        <f>IFERROR(GETPIVOTDATA("Full Name",$V$4,"Region","South"),"0")</f>
        <v>10</v>
      </c>
      <c r="Y16" s="7" t="s">
        <v>51</v>
      </c>
      <c r="Z16" s="12">
        <f>IFERROR(GETPIVOTDATA("Performance Rating",$Y$4,"Department","Marketing"),"0")</f>
        <v>2.3636363636363638</v>
      </c>
    </row>
    <row r="17" spans="5:26">
      <c r="E17" s="7" t="s">
        <v>220</v>
      </c>
      <c r="F17">
        <f>IFERROR(GETPIVOTDATA("Salary",$E$4),"0")</f>
        <v>3104913</v>
      </c>
      <c r="G17">
        <f>SUM(G12:G16)</f>
        <v>487</v>
      </c>
      <c r="I17" s="7" t="s">
        <v>68</v>
      </c>
      <c r="J17" s="6">
        <f>IFERROR(GETPIVOTDATA("Full Name",$I$4,"Age range","56 &lt;"),"0")</f>
        <v>9</v>
      </c>
      <c r="K17" s="6"/>
      <c r="L17" s="6"/>
      <c r="S17" s="7" t="s">
        <v>66</v>
      </c>
      <c r="T17" s="6">
        <f>IFERROR(GETPIVOTDATA("Full Name",$S$4,"Skills","Python"),"0")</f>
        <v>9</v>
      </c>
      <c r="V17" s="7" t="s">
        <v>49</v>
      </c>
      <c r="W17" s="6">
        <f>IFERROR(GETPIVOTDATA("Full Name",$V$4,"Region","West"),"0")</f>
        <v>9</v>
      </c>
      <c r="Y17" s="7" t="s">
        <v>60</v>
      </c>
      <c r="Z17" s="12">
        <f>IFERROR(GETPIVOTDATA("Performance Rating",$Y$4,"Department","Operations"),"0")</f>
        <v>2.5555555555555554</v>
      </c>
    </row>
    <row r="18" spans="5:26">
      <c r="I18" s="7" t="s">
        <v>223</v>
      </c>
      <c r="J18" s="6">
        <f>IFERROR(GETPIVOTDATA("Full Name",$I$4),"0")</f>
        <v>50</v>
      </c>
      <c r="K18" s="6"/>
      <c r="L18" s="6"/>
      <c r="S18" s="7" t="s">
        <v>223</v>
      </c>
      <c r="T18" s="6">
        <f>IFERROR(GETPIVOTDATA("Full Name",$S$4),"0")</f>
        <v>50</v>
      </c>
      <c r="V18" s="7" t="s">
        <v>223</v>
      </c>
      <c r="W18" s="6">
        <f>SUM(W13:W17)</f>
        <v>50</v>
      </c>
      <c r="Y18" s="7" t="s">
        <v>220</v>
      </c>
      <c r="Z18" s="13">
        <f>AVERAGE(Z13:Z17)</f>
        <v>2.6105050505050502</v>
      </c>
    </row>
    <row r="19" spans="5:26">
      <c r="I19" s="6"/>
      <c r="J19" s="6"/>
      <c r="K19" s="6"/>
      <c r="L19" s="6"/>
    </row>
    <row r="20" spans="5:26">
      <c r="I20" s="7" t="s">
        <v>224</v>
      </c>
      <c r="J20" s="6">
        <f>IFERROR(GETPIVOTDATA("Full Name",$I$4,"Gender","Female"),"0")</f>
        <v>26</v>
      </c>
      <c r="K20" s="9">
        <f t="shared" ref="K20:K21" si="2">SUM(J20)/SUM($J$20:$J$21)</f>
        <v>0.52</v>
      </c>
      <c r="L20" s="9">
        <f>1-K20</f>
        <v>0.48</v>
      </c>
    </row>
    <row r="21" spans="5:26">
      <c r="I21" s="7" t="s">
        <v>225</v>
      </c>
      <c r="J21" s="6">
        <f>IFERROR(GETPIVOTDATA("Full Name",$I$4,"Gender","Male"),"0")</f>
        <v>24</v>
      </c>
      <c r="K21" s="9">
        <f t="shared" si="2"/>
        <v>0.48</v>
      </c>
      <c r="L21" s="9">
        <f>1-K21</f>
        <v>0.52</v>
      </c>
    </row>
    <row r="22" spans="5:26">
      <c r="I22" s="7" t="s">
        <v>220</v>
      </c>
      <c r="J22">
        <f>SUM(J20:J21)</f>
        <v>50</v>
      </c>
    </row>
    <row r="24" spans="5:26">
      <c r="I24" s="10" t="s">
        <v>226</v>
      </c>
      <c r="J24" s="10"/>
      <c r="K24" s="10"/>
      <c r="L24" s="6"/>
    </row>
  </sheetData>
  <mergeCells count="7">
    <mergeCell ref="V2:W2"/>
    <mergeCell ref="Y2:Z2"/>
    <mergeCell ref="I2:L2"/>
    <mergeCell ref="B2:C2"/>
    <mergeCell ref="N2:O2"/>
    <mergeCell ref="S2:T2"/>
    <mergeCell ref="E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5C6C-209B-4232-B8C6-996655A6DAE2}">
  <dimension ref="A1"/>
  <sheetViews>
    <sheetView showGridLines="0" tabSelected="1" zoomScaleNormal="100" workbookViewId="0">
      <selection activeCell="J35" sqref="J35"/>
    </sheetView>
  </sheetViews>
  <sheetFormatPr defaultRowHeight="13.8"/>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Harshita Pandey</cp:lastModifiedBy>
  <dcterms:created xsi:type="dcterms:W3CDTF">2024-12-11T17:14:33Z</dcterms:created>
  <dcterms:modified xsi:type="dcterms:W3CDTF">2026-01-12T14:57:28Z</dcterms:modified>
</cp:coreProperties>
</file>